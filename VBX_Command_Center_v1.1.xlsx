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HCPSS</t>
        </is>
      </c>
      <c r="C5" s="96" t="inlineStr">
        <is>
          <t>HCPSS-2026-CY</t>
        </is>
      </c>
      <c r="D5" s="96" t="inlineStr">
        <is>
          <t>INV-2026-001</t>
        </is>
      </c>
      <c r="E5" s="93" t="n">
        <v>11200</v>
      </c>
      <c r="F5" s="93" t="n">
        <v>11200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46053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INV-2026-002</t>
        </is>
      </c>
      <c r="E6" s="93" t="n">
        <v>2500</v>
      </c>
      <c r="F6" s="93" t="n">
        <v>2500</v>
      </c>
      <c r="G6" s="98" t="n">
        <v>46083</v>
      </c>
      <c r="H6" s="96" t="inlineStr">
        <is>
          <t>Monthly retainer — Jan 2026</t>
        </is>
      </c>
    </row>
    <row r="7" ht="15" customHeight="1" s="51">
      <c r="A7" s="98" t="n">
        <v>46081</v>
      </c>
      <c r="B7" s="96" t="inlineStr">
        <is>
          <t>HCPSS</t>
        </is>
      </c>
      <c r="C7" s="96" t="inlineStr">
        <is>
          <t>HCPSS-2026-CY</t>
        </is>
      </c>
      <c r="D7" s="96" t="inlineStr">
        <is>
          <t>INV-2026-003</t>
        </is>
      </c>
      <c r="E7" s="93" t="n">
        <v>11200</v>
      </c>
      <c r="F7" s="93" t="n">
        <v>11200</v>
      </c>
      <c r="G7" s="98" t="n">
        <v>46111</v>
      </c>
      <c r="H7" s="96" t="inlineStr">
        <is>
          <t>Monthly retainer — Feb 2026</t>
        </is>
      </c>
    </row>
    <row r="8" ht="15" customHeight="1" s="51">
      <c r="A8" s="98" t="n">
        <v>46081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INV-2026-004</t>
        </is>
      </c>
      <c r="E8" s="93" t="n">
        <v>2500</v>
      </c>
      <c r="F8" s="93" t="n">
        <v>2500</v>
      </c>
      <c r="G8" s="98" t="n">
        <v>46111</v>
      </c>
      <c r="H8" s="96" t="inlineStr">
        <is>
          <t>Monthly retainer — Feb 2026</t>
        </is>
      </c>
    </row>
    <row r="9" ht="15" customHeight="1" s="51">
      <c r="A9" s="98" t="n">
        <v>46112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INV-2026-005</t>
        </is>
      </c>
      <c r="E9" s="93" t="n">
        <v>11200</v>
      </c>
      <c r="F9" s="93" t="n">
        <v>11200</v>
      </c>
      <c r="G9" s="98" t="n">
        <v>46142</v>
      </c>
      <c r="H9" s="96" t="inlineStr">
        <is>
          <t>Monthly retainer — Mar 2026</t>
        </is>
      </c>
    </row>
    <row r="10" ht="15" customHeight="1" s="51">
      <c r="A10" s="98" t="n">
        <v>46112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INV-2026-006</t>
        </is>
      </c>
      <c r="E10" s="93" t="n">
        <v>2500</v>
      </c>
      <c r="F10" s="93" t="n">
        <v>2500</v>
      </c>
      <c r="G10" s="98" t="n">
        <v>46142</v>
      </c>
      <c r="H10" s="96" t="inlineStr">
        <is>
          <t>Monthly retainer — Mar 2026</t>
        </is>
      </c>
    </row>
    <row r="11" ht="15" customHeight="1" s="51">
      <c r="A11" s="98" t="n">
        <v>46142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INV-2026-007</t>
        </is>
      </c>
      <c r="E11" s="93" t="n">
        <v>11200</v>
      </c>
      <c r="F11" s="93" t="n">
        <v>11200</v>
      </c>
      <c r="G11" s="98" t="n">
        <v>46171</v>
      </c>
      <c r="H11" s="96" t="inlineStr">
        <is>
          <t>Monthly retainer — Apr 2026</t>
        </is>
      </c>
    </row>
    <row r="12" ht="15" customHeight="1" s="51">
      <c r="A12" s="98" t="n">
        <v>46142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INV-2026-008</t>
        </is>
      </c>
      <c r="E12" s="93" t="n">
        <v>2500</v>
      </c>
      <c r="F12" s="93" t="n">
        <v>2500</v>
      </c>
      <c r="G12" s="98" t="n">
        <v>46171</v>
      </c>
      <c r="H12" s="96" t="inlineStr">
        <is>
          <t>Monthly retainer — Apr 2026</t>
        </is>
      </c>
    </row>
    <row r="13" ht="15" customHeight="1" s="51">
      <c r="A13" s="98" t="n">
        <v>46173</v>
      </c>
      <c r="B13" s="96" t="inlineStr">
        <is>
          <t>HCPSS</t>
        </is>
      </c>
      <c r="C13" s="96" t="inlineStr">
        <is>
          <t>HCPSS-2026-CY</t>
        </is>
      </c>
      <c r="D13" s="96" t="inlineStr">
        <is>
          <t>INV-2026-009</t>
        </is>
      </c>
      <c r="E13" s="93" t="n">
        <v>11200</v>
      </c>
      <c r="F13" s="96" t="n"/>
      <c r="G13" s="96" t="n"/>
      <c r="H13" s="96" t="inlineStr">
        <is>
          <t>Monthly retainer — May 2026 (payment pending)</t>
        </is>
      </c>
    </row>
    <row r="14" ht="15" customHeight="1" s="51">
      <c r="A14" s="98" t="n">
        <v>46173</v>
      </c>
      <c r="B14" s="96" t="inlineStr">
        <is>
          <t>First Brands Group</t>
        </is>
      </c>
      <c r="C14" s="96" t="inlineStr">
        <is>
          <t>FBG-2026-CY</t>
        </is>
      </c>
      <c r="D14" s="96" t="inlineStr">
        <is>
          <t>INV-2026-010</t>
        </is>
      </c>
      <c r="E14" s="93" t="n">
        <v>2500</v>
      </c>
      <c r="F14" s="96" t="n"/>
      <c r="G14" s="96" t="n"/>
      <c r="H14" s="96" t="inlineStr">
        <is>
          <t>Monthly retainer — May 2026 (payment pending)</t>
        </is>
      </c>
    </row>
    <row r="15" ht="15" customHeight="1" s="51">
      <c r="A15" s="98" t="n"/>
      <c r="B15" s="96" t="n"/>
      <c r="C15" s="96" t="n"/>
      <c r="D15" s="96" t="n"/>
      <c r="E15" s="93" t="n"/>
      <c r="F15" s="93" t="n"/>
      <c r="G15" s="98" t="n"/>
      <c r="H15" s="96" t="n"/>
    </row>
    <row r="16" ht="15" customHeight="1" s="51">
      <c r="A16" s="98" t="n"/>
      <c r="B16" s="96" t="n"/>
      <c r="C16" s="96" t="n"/>
      <c r="D16" s="96" t="n"/>
      <c r="E16" s="93" t="n"/>
      <c r="F16" s="93" t="n"/>
      <c r="G16" s="98" t="n"/>
      <c r="H16" s="96" t="n"/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>
      <c r="A196" s="98" t="n"/>
      <c r="B196" s="96" t="n"/>
      <c r="C196" s="96" t="n"/>
      <c r="D196" s="96" t="n"/>
      <c r="E196" s="93" t="n"/>
      <c r="F196" s="93" t="n"/>
      <c r="G196" s="98" t="n"/>
      <c r="H196" s="96" t="n"/>
    </row>
    <row r="197" ht="15" customHeight="1" s="51">
      <c r="A197" s="98" t="n"/>
      <c r="B197" s="96" t="n"/>
      <c r="C197" s="96" t="n"/>
      <c r="D197" s="96" t="n"/>
      <c r="E197" s="93" t="n"/>
      <c r="F197" s="93" t="n"/>
      <c r="G197" s="98" t="n"/>
      <c r="H197" s="96" t="n"/>
    </row>
    <row r="198" ht="15" customHeight="1" s="51">
      <c r="A198" s="98" t="n"/>
      <c r="B198" s="96" t="n"/>
      <c r="C198" s="96" t="n"/>
      <c r="D198" s="96" t="n"/>
      <c r="E198" s="93" t="n"/>
      <c r="F198" s="93" t="n"/>
      <c r="G198" s="98" t="n"/>
      <c r="H198" s="96" t="n"/>
    </row>
    <row r="199" ht="15" customHeight="1" s="51">
      <c r="A199" s="98" t="n"/>
      <c r="B199" s="96" t="n"/>
      <c r="C199" s="96" t="n"/>
      <c r="D199" s="96" t="n"/>
      <c r="E199" s="93" t="n"/>
      <c r="F199" s="93" t="n"/>
      <c r="G199" s="98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OPP-002</t>
        </is>
      </c>
      <c r="B6" s="96" t="inlineStr">
        <is>
          <t>Maryland Statewide Network Services (BPM054667) FA4</t>
        </is>
      </c>
      <c r="C6" s="96" t="inlineStr">
        <is>
          <t>Maryland DoIT</t>
        </is>
      </c>
      <c r="D6" s="96" t="inlineStr">
        <is>
          <t>541519</t>
        </is>
      </c>
      <c r="E6" s="96" t="inlineStr">
        <is>
          <t>Capture</t>
        </is>
      </c>
      <c r="F6" s="93" t="n">
        <v>5000000</v>
      </c>
      <c r="G6" s="98" t="n">
        <v>46122</v>
      </c>
      <c r="H6" s="98" t="n">
        <v>46137</v>
      </c>
      <c r="I6" s="96" t="inlineStr">
        <is>
          <t>Khaalis Wooden</t>
        </is>
      </c>
      <c r="J6" s="96" t="inlineStr">
        <is>
          <t>BLOCKED: eMMA registration required. Teaming with AG Grace.</t>
        </is>
      </c>
    </row>
    <row r="7" ht="15" customHeight="1" s="51">
      <c r="A7" s="96" t="inlineStr">
        <is>
          <t>OPP-003</t>
        </is>
      </c>
      <c r="B7" s="96" t="inlineStr">
        <is>
          <t>WA DOH Statewide Rural Health Program (RFP 26-005C)</t>
        </is>
      </c>
      <c r="C7" s="96" t="inlineStr">
        <is>
          <t>Washington State DOH</t>
        </is>
      </c>
      <c r="D7" s="96" t="inlineStr">
        <is>
          <t>541512</t>
        </is>
      </c>
      <c r="E7" s="96" t="inlineStr">
        <is>
          <t>Qualified</t>
        </is>
      </c>
      <c r="F7" s="93" t="n">
        <v>1500000</v>
      </c>
      <c r="G7" s="98" t="n">
        <v>46132</v>
      </c>
      <c r="H7" s="98" t="n">
        <v>46147</v>
      </c>
      <c r="I7" s="96" t="inlineStr">
        <is>
          <t>Khaalis Wooden</t>
        </is>
      </c>
      <c r="J7" s="96" t="inlineStr">
        <is>
          <t>BLOCKED: SOC 2 Type II + WA foreign entity registration.</t>
        </is>
      </c>
    </row>
    <row r="8" ht="15" customHeight="1" s="51">
      <c r="A8" s="96" t="inlineStr">
        <is>
          <t>OPP-004</t>
        </is>
      </c>
      <c r="B8" s="96" t="inlineStr">
        <is>
          <t>Rural Health Transformation Program (RHTP) — Maryland state lane</t>
        </is>
      </c>
      <c r="C8" s="96" t="inlineStr">
        <is>
          <t>Maryland Dept of Health / CMS</t>
        </is>
      </c>
      <c r="D8" s="96" t="inlineStr">
        <is>
          <t>541512</t>
        </is>
      </c>
      <c r="E8" s="96" t="inlineStr">
        <is>
          <t>Identified</t>
        </is>
      </c>
      <c r="F8" s="93" t="n">
        <v>3000000</v>
      </c>
      <c r="G8" s="98" t="n">
        <v>46162</v>
      </c>
      <c r="H8" s="98" t="n">
        <v>46162</v>
      </c>
      <c r="I8" s="96" t="inlineStr">
        <is>
          <t>Khaalis Wooden</t>
        </is>
      </c>
      <c r="J8" s="96" t="inlineStr">
        <is>
          <t>$50B CMS initiative. GRHD framework alignment. Subcontract path TBD.</t>
        </is>
      </c>
    </row>
    <row r="9" ht="15" customHeight="1" s="51">
      <c r="A9" s="96" t="inlineStr">
        <is>
          <t>OPP-005</t>
        </is>
      </c>
      <c r="B9" s="96" t="inlineStr">
        <is>
          <t>Rural Health Transformation Program (RHTP) — Texas state lane</t>
        </is>
      </c>
      <c r="C9" s="96" t="inlineStr">
        <is>
          <t>Texas HHS / CMS</t>
        </is>
      </c>
      <c r="D9" s="96" t="inlineStr">
        <is>
          <t>541512</t>
        </is>
      </c>
      <c r="E9" s="96" t="inlineStr">
        <is>
          <t>Identified</t>
        </is>
      </c>
      <c r="F9" s="93" t="n">
        <v>3000000</v>
      </c>
      <c r="G9" s="98" t="n">
        <v>46162</v>
      </c>
      <c r="H9" s="98" t="n">
        <v>46162</v>
      </c>
      <c r="I9" s="96" t="inlineStr">
        <is>
          <t>Khaalis Wooden</t>
        </is>
      </c>
      <c r="J9" s="96" t="inlineStr">
        <is>
          <t>RHTP Texas. Partner alignment with NCP / BAC for VHA-adjacent.</t>
        </is>
      </c>
    </row>
    <row r="10" ht="15" customHeight="1" s="51">
      <c r="A10" s="96" t="inlineStr">
        <is>
          <t>OPP-006</t>
        </is>
      </c>
      <c r="B10" s="96" t="inlineStr">
        <is>
          <t>HRSA Technical Assistance — National Backbone for System Integration</t>
        </is>
      </c>
      <c r="C10" s="96" t="inlineStr">
        <is>
          <t>HRSA</t>
        </is>
      </c>
      <c r="D10" s="96" t="inlineStr">
        <is>
          <t>541512</t>
        </is>
      </c>
      <c r="E10" s="96" t="inlineStr">
        <is>
          <t>Qualified</t>
        </is>
      </c>
      <c r="F10" s="93" t="n"/>
      <c r="G10" s="98" t="n">
        <v>46181</v>
      </c>
      <c r="H10" s="98" t="n">
        <v>46181</v>
      </c>
      <c r="I10" s="96" t="inlineStr">
        <is>
          <t>Khaalis Wooden</t>
        </is>
      </c>
      <c r="J10" s="96" t="inlineStr">
        <is>
          <t>Closes 6/24. L1+L2 fit. Route via Theta HHS SWIFT or GSA MAS direct. Kaiser+DHCS PP map directly. PURSUE.</t>
        </is>
      </c>
    </row>
    <row r="11" ht="15" customHeight="1" s="51">
      <c r="A11" s="96" t="inlineStr">
        <is>
          <t>OPP-007</t>
        </is>
      </c>
      <c r="B11" s="96" t="inlineStr">
        <is>
          <t>TN Behavioral Telehealth (Perinatal &amp; Pediatric)</t>
        </is>
      </c>
      <c r="C11" s="96" t="inlineStr">
        <is>
          <t>TN Dept of Health</t>
        </is>
      </c>
      <c r="D11" s="96" t="inlineStr">
        <is>
          <t>541512</t>
        </is>
      </c>
      <c r="E11" s="96" t="inlineStr">
        <is>
          <t>Identified</t>
        </is>
      </c>
      <c r="F11" s="93" t="n"/>
      <c r="G11" s="98" t="n">
        <v>46181</v>
      </c>
      <c r="H11" s="98" t="n">
        <v>46181</v>
      </c>
      <c r="I11" s="96" t="inlineStr">
        <is>
          <t>Khaalis Wooden</t>
        </is>
      </c>
      <c r="J11" s="96" t="inlineStr">
        <is>
          <t>Closes 6/15. Kaiser VCare federal analog. Gate 1 + Pwin score due 6/10.</t>
        </is>
      </c>
    </row>
    <row r="12" ht="15" customHeight="1" s="51">
      <c r="A12" s="96" t="inlineStr">
        <is>
          <t>OPP-008</t>
        </is>
      </c>
      <c r="B12" s="96" t="inlineStr">
        <is>
          <t>TN Service Line &amp; Co-Location (Specialty Integration)</t>
        </is>
      </c>
      <c r="C12" s="96" t="inlineStr">
        <is>
          <t>TN Dept of Health</t>
        </is>
      </c>
      <c r="D12" s="96" t="inlineStr">
        <is>
          <t>541512</t>
        </is>
      </c>
      <c r="E12" s="96" t="inlineStr">
        <is>
          <t>Identified</t>
        </is>
      </c>
      <c r="F12" s="93" t="n"/>
      <c r="G12" s="98" t="n">
        <v>46181</v>
      </c>
      <c r="H12" s="98" t="n">
        <v>46181</v>
      </c>
      <c r="I12" s="96" t="inlineStr">
        <is>
          <t>Khaalis Wooden</t>
        </is>
      </c>
      <c r="J12" s="96" t="inlineStr">
        <is>
          <t>Opens 6/12. Stage Gate 1 for release day. Rolling TN procurement cycle.</t>
        </is>
      </c>
    </row>
    <row r="13" ht="15" customHeight="1" s="51">
      <c r="A13" s="96" t="inlineStr">
        <is>
          <t>OPP-009</t>
        </is>
      </c>
      <c r="B13" s="96" t="inlineStr">
        <is>
          <t>OPM OIG BRIDGE BPA RFQ1809527 — FEHBP Claims DW w/ Gen-AI</t>
        </is>
      </c>
      <c r="C13" s="96" t="inlineStr">
        <is>
          <t>OPM OIG</t>
        </is>
      </c>
      <c r="D13" s="96" t="inlineStr">
        <is>
          <t>541512</t>
        </is>
      </c>
      <c r="E13" s="96" t="inlineStr">
        <is>
          <t>Identified</t>
        </is>
      </c>
      <c r="F13" s="93" t="n">
        <v>15000000</v>
      </c>
      <c r="G13" s="98" t="n">
        <v>46181</v>
      </c>
      <c r="H13" s="98" t="n">
        <v>46181</v>
      </c>
      <c r="I13" s="96" t="inlineStr">
        <is>
          <t>Khaalis Wooden</t>
        </is>
      </c>
      <c r="J13" s="96" t="inlineStr">
        <is>
          <t>$15M ceiling point. 8(a) Pool Competitive. Sub via TES MAS 54151S. Incumbent: Unissant.</t>
        </is>
      </c>
    </row>
    <row r="14" ht="15" customHeight="1" s="51">
      <c r="A14" s="96" t="inlineStr">
        <is>
          <t>OPP-010</t>
        </is>
      </c>
      <c r="B14" s="96" t="inlineStr">
        <is>
          <t>VA VIPPS RFQ1809729 (Phase II)</t>
        </is>
      </c>
      <c r="C14" s="96" t="inlineStr">
        <is>
          <t>VA</t>
        </is>
      </c>
      <c r="D14" s="96" t="inlineStr">
        <is>
          <t>541512</t>
        </is>
      </c>
      <c r="E14" s="96" t="inlineStr">
        <is>
          <t>Identified</t>
        </is>
      </c>
      <c r="F14" s="93" t="n">
        <v>20000000</v>
      </c>
      <c r="G14" s="98" t="n">
        <v>46181</v>
      </c>
      <c r="H14" s="98" t="n">
        <v>46181</v>
      </c>
      <c r="I14" s="96" t="inlineStr">
        <is>
          <t>Khaalis Wooden</t>
        </is>
      </c>
      <c r="J14" s="96" t="inlineStr">
        <is>
          <t>Phase II only through 7/1. VistA/iFAMS integration + AI/ML + FedRAMP Mod. Sub via TES MAS.</t>
        </is>
      </c>
    </row>
    <row r="15" ht="15" customHeight="1" s="51">
      <c r="A15" s="96" t="inlineStr">
        <is>
          <t>OPP-011</t>
        </is>
      </c>
      <c r="B15" s="96" t="inlineStr">
        <is>
          <t>NIH Data Access &amp; Linkage BPA</t>
        </is>
      </c>
      <c r="C15" s="96" t="inlineStr">
        <is>
          <t>NIH</t>
        </is>
      </c>
      <c r="D15" s="96" t="inlineStr">
        <is>
          <t>541512</t>
        </is>
      </c>
      <c r="E15" s="96" t="inlineStr">
        <is>
          <t>Identified</t>
        </is>
      </c>
      <c r="F15" s="93" t="n"/>
      <c r="G15" s="98" t="n">
        <v>46181</v>
      </c>
      <c r="H15" s="98" t="n">
        <v>46181</v>
      </c>
      <c r="I15" s="96" t="inlineStr">
        <is>
          <t>Khaalis Wooden</t>
        </is>
      </c>
      <c r="J15" s="96" t="inlineStr">
        <is>
          <t>Surfaced via TES eBuy queue (MAS SIN 54151S, updated 6/3 by Alan Sosa). Sub via TES.</t>
        </is>
      </c>
    </row>
    <row r="16" ht="15" customHeight="1" s="51">
      <c r="A16" s="96" t="inlineStr">
        <is>
          <t>OPP-012</t>
        </is>
      </c>
      <c r="B16" s="96" t="inlineStr">
        <is>
          <t>VHA Integrated Healthcare Transformation (IHT) 2.0</t>
        </is>
      </c>
      <c r="C16" s="96" t="inlineStr">
        <is>
          <t>VA Strategic Acquisition Center</t>
        </is>
      </c>
      <c r="D16" s="96" t="inlineStr">
        <is>
          <t>541512</t>
        </is>
      </c>
      <c r="E16" s="96" t="inlineStr">
        <is>
          <t>Identified</t>
        </is>
      </c>
      <c r="F16" s="93" t="n"/>
      <c r="G16" s="98" t="n">
        <v>46181</v>
      </c>
      <c r="H16" s="98" t="n">
        <v>46181</v>
      </c>
      <c r="I16" s="96" t="inlineStr">
        <is>
          <t>Khaalis Wooden</t>
        </is>
      </c>
      <c r="J16" s="96" t="inlineStr">
        <is>
          <t>$14B 10-yr SDVOSB IDIQ. Presolic. Notice IDs: 36C10X24R0026 / 36C10X23R0032. Non-similarly-situated sub path via BAC (PFS) or OMNI.</t>
        </is>
      </c>
    </row>
    <row r="17" ht="15" customHeight="1" s="51">
      <c r="A17" s="96" t="inlineStr">
        <is>
          <t>OPP-013</t>
        </is>
      </c>
      <c r="B17" s="96" t="inlineStr">
        <is>
          <t>VA.gov Replacement Model (DA01)</t>
        </is>
      </c>
      <c r="C17" s="96" t="inlineStr">
        <is>
          <t>VA Technology Acquisition Center</t>
        </is>
      </c>
      <c r="D17" s="96" t="inlineStr">
        <is>
          <t>541512</t>
        </is>
      </c>
      <c r="E17" s="96" t="inlineStr">
        <is>
          <t>Identified</t>
        </is>
      </c>
      <c r="F17" s="93" t="n"/>
      <c r="G17" s="98" t="n">
        <v>46181</v>
      </c>
      <c r="H17" s="98" t="n">
        <v>46181</v>
      </c>
      <c r="I17" s="96" t="inlineStr">
        <is>
          <t>Khaalis Wooden</t>
        </is>
      </c>
      <c r="J17" s="96" t="inlineStr">
        <is>
          <t>Notice 36C10B26Q0131. RFI Loopback 5/5. Anticipated solic Q1 FY27. Kaiser VCare = direct analog.</t>
        </is>
      </c>
    </row>
    <row r="18" ht="15" customHeight="1" s="51">
      <c r="A18" s="96" t="inlineStr">
        <is>
          <t>OPP-014</t>
        </is>
      </c>
      <c r="B18" s="96" t="inlineStr">
        <is>
          <t>FL &amp; VT RHTP — Remote Patient Monitoring</t>
        </is>
      </c>
      <c r="C18" s="96" t="inlineStr">
        <is>
          <t>FL AHCA / VT AHS</t>
        </is>
      </c>
      <c r="D18" s="96" t="inlineStr">
        <is>
          <t>541512</t>
        </is>
      </c>
      <c r="E18" s="96" t="inlineStr">
        <is>
          <t>Identified</t>
        </is>
      </c>
      <c r="F18" s="93" t="n"/>
      <c r="G18" s="98" t="n">
        <v>46181</v>
      </c>
      <c r="H18" s="98" t="n">
        <v>46181</v>
      </c>
      <c r="I18" s="96" t="inlineStr">
        <is>
          <t>Khaalis Wooden</t>
        </is>
      </c>
      <c r="J18" s="96" t="inlineStr">
        <is>
          <t>WATCH. Closes 6/10. State reg gap (FL/VT not on registered-states list) + COTS vendor-type risk. Sub-only or NO-BID.</t>
        </is>
      </c>
    </row>
    <row r="19" ht="15" customHeight="1" s="51">
      <c r="A19" s="96" t="inlineStr">
        <is>
          <t>OPP-015</t>
        </is>
      </c>
      <c r="B19" s="96" t="inlineStr">
        <is>
          <t>AR THRIVE — Continuous Patient Monitoring</t>
        </is>
      </c>
      <c r="C19" s="96" t="inlineStr">
        <is>
          <t>AR Dept of Human Services</t>
        </is>
      </c>
      <c r="D19" s="96" t="inlineStr">
        <is>
          <t>541512</t>
        </is>
      </c>
      <c r="E19" s="96" t="inlineStr">
        <is>
          <t>Identified</t>
        </is>
      </c>
      <c r="F19" s="93" t="n">
        <v>18000000</v>
      </c>
      <c r="G19" s="98" t="n">
        <v>46181</v>
      </c>
      <c r="H19" s="98" t="n">
        <v>46181</v>
      </c>
      <c r="I19" s="96" t="inlineStr">
        <is>
          <t>Khaalis Wooden</t>
        </is>
      </c>
      <c r="J19" s="96" t="inlineStr">
        <is>
          <t>WATCH. Closes 6/12. AR not on registered states; $18M above sweet spot. Sub if integrator scope carved out.</t>
        </is>
      </c>
    </row>
    <row r="20" ht="15" customHeight="1" s="51">
      <c r="A20" s="96" t="inlineStr">
        <is>
          <t>OPP-016</t>
        </is>
      </c>
      <c r="B20" s="96" t="inlineStr">
        <is>
          <t>MD Workforce Data Clearinghouse</t>
        </is>
      </c>
      <c r="C20" s="96" t="inlineStr">
        <is>
          <t>Maryland State</t>
        </is>
      </c>
      <c r="D20" s="96" t="inlineStr">
        <is>
          <t>541512</t>
        </is>
      </c>
      <c r="E20" s="96" t="inlineStr">
        <is>
          <t>Identified</t>
        </is>
      </c>
      <c r="F20" s="93" t="n"/>
      <c r="G20" s="98" t="n">
        <v>46181</v>
      </c>
      <c r="H20" s="98" t="n">
        <v>46181</v>
      </c>
      <c r="I20" s="96" t="inlineStr">
        <is>
          <t>Khaalis Wooden</t>
        </is>
      </c>
      <c r="J20" s="96" t="inlineStr">
        <is>
          <t>WATCH. May/Jun release. AG Grace MBE/SDVOSB prime; VBX integration sub. Aligned to $163M+ MD RHTP first-budget pillar.</t>
        </is>
      </c>
    </row>
    <row r="21" ht="15" customHeight="1" s="51">
      <c r="A21" s="96" t="inlineStr">
        <is>
          <t>OPP-017</t>
        </is>
      </c>
      <c r="B21" s="96" t="inlineStr">
        <is>
          <t>MT RHTP CoE Implementation Vendor (post-NOIA)</t>
        </is>
      </c>
      <c r="C21" s="96" t="inlineStr">
        <is>
          <t>Montana DOA</t>
        </is>
      </c>
      <c r="D21" s="96" t="inlineStr">
        <is>
          <t>541512</t>
        </is>
      </c>
      <c r="E21" s="96" t="inlineStr">
        <is>
          <t>Identified</t>
        </is>
      </c>
      <c r="F21" s="93" t="n">
        <v>105500000</v>
      </c>
      <c r="G21" s="98" t="n">
        <v>46181</v>
      </c>
      <c r="H21" s="98" t="n">
        <v>46181</v>
      </c>
      <c r="I21" s="96" t="inlineStr">
        <is>
          <t>Khaalis Wooden</t>
        </is>
      </c>
      <c r="J21" s="96" t="inlineStr">
        <is>
          <t>WATCH. $105.5M pending NOIA (~30 days). Sub-positioning on awardee immediately. Track Montana DOA NOIA archive.</t>
        </is>
      </c>
    </row>
    <row r="22" ht="15" customHeight="1" s="51">
      <c r="A22" s="96" t="inlineStr">
        <is>
          <t>OPP-018</t>
        </is>
      </c>
      <c r="B22" s="96" t="inlineStr">
        <is>
          <t>USAC Enterprise Cybersecurity &amp; Monitoring (IT-26-073)</t>
        </is>
      </c>
      <c r="C22" s="96" t="inlineStr">
        <is>
          <t>USAC</t>
        </is>
      </c>
      <c r="D22" s="96" t="inlineStr">
        <is>
          <t>541512</t>
        </is>
      </c>
      <c r="E22" s="96" t="inlineStr">
        <is>
          <t>Qualified</t>
        </is>
      </c>
      <c r="F22" s="93" t="n"/>
      <c r="G22" s="98" t="n">
        <v>46181</v>
      </c>
      <c r="H22" s="98" t="n">
        <v>46181</v>
      </c>
      <c r="I22" s="96" t="inlineStr">
        <is>
          <t>Khaalis Wooden</t>
        </is>
      </c>
      <c r="J22" s="96" t="inlineStr">
        <is>
          <t>Closes 6/10 11AM ET. Bilateral outreach sent 6/8 to AG Grace, TES, West Point, ISG. USAC = private NFP, no FAR set-asides.</t>
        </is>
      </c>
    </row>
    <row r="23" ht="15" customHeight="1" s="51">
      <c r="A23" s="96" t="inlineStr">
        <is>
          <t>OPP-019</t>
        </is>
      </c>
      <c r="B23" s="96" t="inlineStr">
        <is>
          <t>USDA Community Connect</t>
        </is>
      </c>
      <c r="C23" s="96" t="inlineStr">
        <is>
          <t>USDA Rural Utilities Service</t>
        </is>
      </c>
      <c r="D23" s="96" t="inlineStr">
        <is>
          <t>517311</t>
        </is>
      </c>
      <c r="E23" s="96" t="inlineStr">
        <is>
          <t>No-Bid</t>
        </is>
      </c>
      <c r="F23" s="93" t="n"/>
      <c r="G23" s="98" t="n">
        <v>46181</v>
      </c>
      <c r="H23" s="98" t="n">
        <v>46181</v>
      </c>
      <c r="I23" s="96" t="inlineStr">
        <is>
          <t>Khaalis Wooden</t>
        </is>
      </c>
      <c r="J23" s="96" t="inlineStr">
        <is>
          <t>NO-BID. Capability mismatch — broadband infrastructure, not healthcare IT. Formal DOCX pending.</t>
        </is>
      </c>
    </row>
    <row r="24" ht="15" customHeight="1" s="51">
      <c r="A24" s="96" t="inlineStr">
        <is>
          <t>OPP-020</t>
        </is>
      </c>
      <c r="B24" s="96" t="inlineStr">
        <is>
          <t>HRSA Rural Residency Planning &amp; Development</t>
        </is>
      </c>
      <c r="C24" s="96" t="inlineStr">
        <is>
          <t>HRSA</t>
        </is>
      </c>
      <c r="D24" s="96" t="inlineStr">
        <is>
          <t>541512</t>
        </is>
      </c>
      <c r="E24" s="96" t="inlineStr">
        <is>
          <t>No-Bid</t>
        </is>
      </c>
      <c r="F24" s="93" t="n"/>
      <c r="G24" s="98" t="n">
        <v>46181</v>
      </c>
      <c r="H24" s="98" t="n">
        <v>46181</v>
      </c>
      <c r="I24" s="96" t="inlineStr">
        <is>
          <t>Khaalis Wooden</t>
        </is>
      </c>
      <c r="J24" s="96" t="inlineStr">
        <is>
          <t>NO-BID. Mission mismatch — funds residency programs, not IT vendors. Formal DOCX pending. Track FY26 awardees for downstream EHR/telehealth sub plays.</t>
        </is>
      </c>
    </row>
    <row r="25" ht="15" customHeight="1" s="51">
      <c r="A25" s="96" t="inlineStr">
        <is>
          <t>OPP-021</t>
        </is>
      </c>
      <c r="B25" s="96" t="inlineStr">
        <is>
          <t>VA NEDIIS (36C10B26Q0078)</t>
        </is>
      </c>
      <c r="C25" s="96" t="inlineStr">
        <is>
          <t>VA OIT</t>
        </is>
      </c>
      <c r="D25" s="96" t="inlineStr">
        <is>
          <t>541512</t>
        </is>
      </c>
      <c r="E25" s="96" t="inlineStr">
        <is>
          <t>No-Bid</t>
        </is>
      </c>
      <c r="F25" s="93" t="n"/>
      <c r="G25" s="98" t="n">
        <v>46175</v>
      </c>
      <c r="H25" s="98" t="n">
        <v>46175</v>
      </c>
      <c r="I25" s="96" t="inlineStr">
        <is>
          <t>Khaalis Wooden</t>
        </is>
      </c>
      <c r="J25" s="96" t="inlineStr">
        <is>
          <t>NO-BID filed 6/2. Window closed + T4NG vehicle closed + 150-FTE PP floor. Watch GSA Alliant 3 SDVOSB pool finalization.</t>
        </is>
      </c>
    </row>
    <row r="26" ht="15" customHeight="1" s="51">
      <c r="A26" s="96" t="inlineStr">
        <is>
          <t>OPP-022</t>
        </is>
      </c>
      <c r="B26" s="96" t="inlineStr">
        <is>
          <t>SENTRY (CB26-RFQ0012) — CBO IT Support BPA, SMA 2 Cloud Service Support (J4 + J5)</t>
        </is>
      </c>
      <c r="C26" s="96" t="inlineStr">
        <is>
          <t>Congressional Budget Office (CBO)</t>
        </is>
      </c>
      <c r="D26" s="96" t="inlineStr">
        <is>
          <t>541512</t>
        </is>
      </c>
      <c r="E26" s="96" t="inlineStr">
        <is>
          <t>Capture</t>
        </is>
      </c>
      <c r="F26" s="97" t="n">
        <v>4000000</v>
      </c>
      <c r="G26" s="98" t="n">
        <v>46200</v>
      </c>
      <c r="H26" s="98" t="n">
        <v>46200</v>
      </c>
      <c r="I26" s="96" t="inlineStr">
        <is>
          <t>Khaalis Wooden</t>
        </is>
      </c>
      <c r="J26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>
      <c r="A83" s="96" t="n"/>
      <c r="B83" s="96" t="n"/>
      <c r="C83" s="96" t="n"/>
      <c r="D83" s="96" t="n"/>
      <c r="E83" s="96" t="n"/>
      <c r="F83" s="93" t="n"/>
      <c r="G83" s="98" t="n"/>
      <c r="H83" s="98" t="n"/>
      <c r="I83" s="96" t="n"/>
      <c r="J83" s="96" t="n"/>
    </row>
    <row r="84" ht="15" customHeight="1" s="51">
      <c r="A84" s="96" t="n"/>
      <c r="B84" s="96" t="n"/>
      <c r="C84" s="96" t="n"/>
      <c r="D84" s="96" t="n"/>
      <c r="E84" s="96" t="n"/>
      <c r="F84" s="93" t="n"/>
      <c r="G84" s="98" t="n"/>
      <c r="H84" s="98" t="n"/>
      <c r="I84" s="96" t="n"/>
      <c r="J84" s="96" t="n"/>
    </row>
    <row r="85" ht="15" customHeight="1" s="51">
      <c r="A85" s="96" t="n"/>
      <c r="B85" s="96" t="n"/>
      <c r="C85" s="96" t="n"/>
      <c r="D85" s="96" t="n"/>
      <c r="E85" s="96" t="n"/>
      <c r="F85" s="93" t="n"/>
      <c r="G85" s="98" t="n"/>
      <c r="H85" s="98" t="n"/>
      <c r="I85" s="96" t="n"/>
      <c r="J85" s="96" t="n"/>
    </row>
    <row r="86" ht="15" customHeight="1" s="51">
      <c r="A86" s="96" t="n"/>
      <c r="B86" s="96" t="n"/>
      <c r="C86" s="96" t="n"/>
      <c r="D86" s="96" t="n"/>
      <c r="E86" s="96" t="n"/>
      <c r="F86" s="93" t="n"/>
      <c r="G86" s="98" t="n"/>
      <c r="H86" s="98" t="n"/>
      <c r="I86" s="96" t="n"/>
      <c r="J86" s="96" t="n"/>
    </row>
    <row r="87" ht="15" customHeight="1" s="51">
      <c r="A87" s="96" t="n"/>
      <c r="B87" s="96" t="n"/>
      <c r="C87" s="96" t="n"/>
      <c r="D87" s="96" t="n"/>
      <c r="E87" s="96" t="n"/>
      <c r="F87" s="93" t="n"/>
      <c r="G87" s="98" t="n"/>
      <c r="H87" s="98" t="n"/>
      <c r="I87" s="96" t="n"/>
      <c r="J87" s="96" t="n"/>
    </row>
    <row r="88" ht="15" customHeight="1" s="51">
      <c r="A88" s="96" t="n"/>
      <c r="B88" s="96" t="n"/>
      <c r="C88" s="96" t="n"/>
      <c r="D88" s="96" t="n"/>
      <c r="E88" s="96" t="n"/>
      <c r="F88" s="93" t="n"/>
      <c r="G88" s="98" t="n"/>
      <c r="H88" s="98" t="n"/>
      <c r="I88" s="96" t="n"/>
      <c r="J88" s="96" t="n"/>
    </row>
    <row r="89" ht="15" customHeight="1" s="51">
      <c r="A89" s="96" t="n"/>
      <c r="B89" s="96" t="n"/>
      <c r="C89" s="96" t="n"/>
      <c r="D89" s="96" t="n"/>
      <c r="E89" s="96" t="n"/>
      <c r="F89" s="93" t="n"/>
      <c r="G89" s="98" t="n"/>
      <c r="H89" s="98" t="n"/>
      <c r="I89" s="96" t="n"/>
      <c r="J89" s="96" t="n"/>
    </row>
    <row r="90" ht="15" customHeight="1" s="51">
      <c r="A90" s="96" t="n"/>
      <c r="B90" s="96" t="n"/>
      <c r="C90" s="96" t="n"/>
      <c r="D90" s="96" t="n"/>
      <c r="E90" s="96" t="n"/>
      <c r="F90" s="93" t="n"/>
      <c r="G90" s="98" t="n"/>
      <c r="H90" s="98" t="n"/>
      <c r="I90" s="96" t="n"/>
      <c r="J90" s="96" t="n"/>
    </row>
    <row r="91" ht="15" customHeight="1" s="51">
      <c r="A91" s="96" t="n"/>
      <c r="B91" s="96" t="n"/>
      <c r="C91" s="96" t="n"/>
      <c r="D91" s="96" t="n"/>
      <c r="E91" s="96" t="n"/>
      <c r="F91" s="93" t="n"/>
      <c r="G91" s="98" t="n"/>
      <c r="H91" s="98" t="n"/>
      <c r="I91" s="96" t="n"/>
      <c r="J91" s="96" t="n"/>
    </row>
    <row r="92" ht="15" customHeight="1" s="51">
      <c r="A92" s="96" t="n"/>
      <c r="B92" s="96" t="n"/>
      <c r="C92" s="96" t="n"/>
      <c r="D92" s="96" t="n"/>
      <c r="E92" s="96" t="n"/>
      <c r="F92" s="93" t="n"/>
      <c r="G92" s="98" t="n"/>
      <c r="H92" s="98" t="n"/>
      <c r="I92" s="96" t="n"/>
      <c r="J92" s="96" t="n"/>
    </row>
    <row r="93" ht="15" customHeight="1" s="51">
      <c r="A93" s="96" t="n"/>
      <c r="B93" s="96" t="n"/>
      <c r="C93" s="96" t="n"/>
      <c r="D93" s="96" t="n"/>
      <c r="E93" s="96" t="n"/>
      <c r="F93" s="93" t="n"/>
      <c r="G93" s="98" t="n"/>
      <c r="H93" s="98" t="n"/>
      <c r="I93" s="96" t="n"/>
      <c r="J93" s="96" t="n"/>
    </row>
    <row r="94" ht="15" customHeight="1" s="51">
      <c r="A94" s="96" t="n"/>
      <c r="B94" s="96" t="n"/>
      <c r="C94" s="96" t="n"/>
      <c r="D94" s="96" t="n"/>
      <c r="E94" s="96" t="n"/>
      <c r="F94" s="93" t="n"/>
      <c r="G94" s="98" t="n"/>
      <c r="H94" s="98" t="n"/>
      <c r="I94" s="96" t="n"/>
      <c r="J94" s="96" t="n"/>
    </row>
    <row r="95" ht="15" customHeight="1" s="51">
      <c r="A95" s="96" t="n"/>
      <c r="B95" s="96" t="n"/>
      <c r="C95" s="96" t="n"/>
      <c r="D95" s="96" t="n"/>
      <c r="E95" s="96" t="n"/>
      <c r="F95" s="93" t="n"/>
      <c r="G95" s="98" t="n"/>
      <c r="H95" s="98" t="n"/>
      <c r="I95" s="96" t="n"/>
      <c r="J95" s="96" t="n"/>
    </row>
    <row r="96" ht="15" customHeight="1" s="51">
      <c r="A96" s="96" t="n"/>
      <c r="B96" s="96" t="n"/>
      <c r="C96" s="96" t="n"/>
      <c r="D96" s="96" t="n"/>
      <c r="E96" s="96" t="n"/>
      <c r="F96" s="93" t="n"/>
      <c r="G96" s="98" t="n"/>
      <c r="H96" s="98" t="n"/>
      <c r="I96" s="96" t="n"/>
      <c r="J96" s="96" t="n"/>
    </row>
    <row r="97" ht="15" customHeight="1" s="51">
      <c r="A97" s="96" t="n"/>
      <c r="B97" s="96" t="n"/>
      <c r="C97" s="96" t="n"/>
      <c r="D97" s="96" t="n"/>
      <c r="E97" s="96" t="n"/>
      <c r="F97" s="93" t="n"/>
      <c r="G97" s="98" t="n"/>
      <c r="H97" s="98" t="n"/>
      <c r="I97" s="96" t="n"/>
      <c r="J97" s="96" t="n"/>
    </row>
    <row r="98" ht="15" customHeight="1" s="51">
      <c r="A98" s="96" t="n"/>
      <c r="B98" s="96" t="n"/>
      <c r="C98" s="96" t="n"/>
      <c r="D98" s="96" t="n"/>
      <c r="E98" s="96" t="n"/>
      <c r="F98" s="93" t="n"/>
      <c r="G98" s="98" t="n"/>
      <c r="H98" s="98" t="n"/>
      <c r="I98" s="96" t="n"/>
      <c r="J98" s="96" t="n"/>
    </row>
    <row r="99" ht="15" customHeight="1" s="51">
      <c r="A99" s="96" t="n"/>
      <c r="B99" s="96" t="n"/>
      <c r="C99" s="96" t="n"/>
      <c r="D99" s="96" t="n"/>
      <c r="E99" s="96" t="n"/>
      <c r="F99" s="93" t="n"/>
      <c r="G99" s="98" t="n"/>
      <c r="H99" s="98" t="n"/>
      <c r="I99" s="96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–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–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–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–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–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–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–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–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2026-07-07T23:59:01Z</dcterms:modified>
  <cp:revision>0</cp:revision>
</cp:coreProperties>
</file>