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  <numFmt numFmtId="169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169" fontId="1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  <c r="G11" s="58" t="inlineStr">
        <is>
          <t>Awards Won (#)</t>
        </is>
      </c>
      <c r="H11" s="58" t="inlineStr">
        <is>
          <t>Awarded TCV ($)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  <c r="G12" s="62">
        <f>COUNTIF(Pipeline!E5:E1000,"Awarded")</f>
        <v/>
      </c>
      <c r="H12" s="59">
        <f>SUMIF(Pipeline!E5:E1000,"Awarded",Pipeline!F5:F1000)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HCPSS</t>
        </is>
      </c>
      <c r="C5" s="96" t="inlineStr">
        <is>
          <t>HCPSS-2026-CY</t>
        </is>
      </c>
      <c r="D5" s="96" t="inlineStr">
        <is>
          <t>INV-2026-001</t>
        </is>
      </c>
      <c r="E5" s="93" t="n">
        <v>11200</v>
      </c>
      <c r="F5" s="93" t="n">
        <v>11200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46053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INV-2026-002</t>
        </is>
      </c>
      <c r="E6" s="93" t="n">
        <v>2500</v>
      </c>
      <c r="F6" s="93" t="n">
        <v>2500</v>
      </c>
      <c r="G6" s="98" t="n">
        <v>46083</v>
      </c>
      <c r="H6" s="96" t="inlineStr">
        <is>
          <t>Monthly retainer — Jan 2026</t>
        </is>
      </c>
    </row>
    <row r="7" ht="15" customHeight="1" s="51">
      <c r="A7" s="98" t="n">
        <v>46081</v>
      </c>
      <c r="B7" s="96" t="inlineStr">
        <is>
          <t>HCPSS</t>
        </is>
      </c>
      <c r="C7" s="96" t="inlineStr">
        <is>
          <t>HCPSS-2026-CY</t>
        </is>
      </c>
      <c r="D7" s="96" t="inlineStr">
        <is>
          <t>INV-2026-003</t>
        </is>
      </c>
      <c r="E7" s="93" t="n">
        <v>11200</v>
      </c>
      <c r="F7" s="93" t="n">
        <v>11200</v>
      </c>
      <c r="G7" s="98" t="n">
        <v>46111</v>
      </c>
      <c r="H7" s="96" t="inlineStr">
        <is>
          <t>Monthly retainer — Feb 2026</t>
        </is>
      </c>
    </row>
    <row r="8" ht="15" customHeight="1" s="51">
      <c r="A8" s="98" t="n">
        <v>46081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INV-2026-004</t>
        </is>
      </c>
      <c r="E8" s="93" t="n">
        <v>2500</v>
      </c>
      <c r="F8" s="93" t="n">
        <v>2500</v>
      </c>
      <c r="G8" s="98" t="n">
        <v>46111</v>
      </c>
      <c r="H8" s="96" t="inlineStr">
        <is>
          <t>Monthly retainer — Feb 2026</t>
        </is>
      </c>
    </row>
    <row r="9" ht="15" customHeight="1" s="51">
      <c r="A9" s="98" t="n">
        <v>46112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INV-2026-005</t>
        </is>
      </c>
      <c r="E9" s="93" t="n">
        <v>11200</v>
      </c>
      <c r="F9" s="93" t="n">
        <v>11200</v>
      </c>
      <c r="G9" s="98" t="n">
        <v>46142</v>
      </c>
      <c r="H9" s="96" t="inlineStr">
        <is>
          <t>Monthly retainer — Mar 2026</t>
        </is>
      </c>
    </row>
    <row r="10" ht="15" customHeight="1" s="51">
      <c r="A10" s="98" t="n">
        <v>46112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INV-2026-006</t>
        </is>
      </c>
      <c r="E10" s="93" t="n">
        <v>2500</v>
      </c>
      <c r="F10" s="93" t="n">
        <v>2500</v>
      </c>
      <c r="G10" s="98" t="n">
        <v>46142</v>
      </c>
      <c r="H10" s="96" t="inlineStr">
        <is>
          <t>Monthly retainer — Mar 2026</t>
        </is>
      </c>
    </row>
    <row r="11" ht="15" customHeight="1" s="51">
      <c r="A11" s="98" t="n">
        <v>46142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INV-2026-007</t>
        </is>
      </c>
      <c r="E11" s="93" t="n">
        <v>11200</v>
      </c>
      <c r="F11" s="93" t="n">
        <v>11200</v>
      </c>
      <c r="G11" s="98" t="n">
        <v>46171</v>
      </c>
      <c r="H11" s="96" t="inlineStr">
        <is>
          <t>Monthly retainer — Apr 2026</t>
        </is>
      </c>
    </row>
    <row r="12" ht="15" customHeight="1" s="51">
      <c r="A12" s="98" t="n">
        <v>46142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INV-2026-008</t>
        </is>
      </c>
      <c r="E12" s="93" t="n">
        <v>2500</v>
      </c>
      <c r="F12" s="93" t="n">
        <v>2500</v>
      </c>
      <c r="G12" s="98" t="n">
        <v>46171</v>
      </c>
      <c r="H12" s="96" t="inlineStr">
        <is>
          <t>Monthly retainer — Apr 2026</t>
        </is>
      </c>
    </row>
    <row r="13" ht="15" customHeight="1" s="51">
      <c r="A13" s="98" t="n">
        <v>46173</v>
      </c>
      <c r="B13" s="96" t="inlineStr">
        <is>
          <t>HCPSS</t>
        </is>
      </c>
      <c r="C13" s="96" t="inlineStr">
        <is>
          <t>HCPSS-2026-CY</t>
        </is>
      </c>
      <c r="D13" s="96" t="inlineStr">
        <is>
          <t>INV-2026-009</t>
        </is>
      </c>
      <c r="E13" s="93" t="n">
        <v>11200</v>
      </c>
      <c r="F13" s="96" t="n">
        <v>11200</v>
      </c>
      <c r="G13" s="102" t="n">
        <v>46202</v>
      </c>
      <c r="H13" s="96" t="inlineStr">
        <is>
          <t>Monthly retainer — May 2026</t>
        </is>
      </c>
    </row>
    <row r="14" ht="15" customHeight="1" s="51">
      <c r="A14" s="98" t="n">
        <v>46173</v>
      </c>
      <c r="B14" s="96" t="inlineStr">
        <is>
          <t>First Brands Group</t>
        </is>
      </c>
      <c r="C14" s="96" t="inlineStr">
        <is>
          <t>FBG-2026-CY</t>
        </is>
      </c>
      <c r="D14" s="96" t="inlineStr">
        <is>
          <t>INV-2026-010</t>
        </is>
      </c>
      <c r="E14" s="93" t="n">
        <v>2500</v>
      </c>
      <c r="F14" s="96" t="n">
        <v>2500</v>
      </c>
      <c r="G14" s="102" t="n">
        <v>46202</v>
      </c>
      <c r="H14" s="96" t="inlineStr">
        <is>
          <t>Monthly retainer — May 2026</t>
        </is>
      </c>
    </row>
    <row r="15" ht="15" customHeight="1" s="51">
      <c r="A15" s="98" t="n">
        <v>46203</v>
      </c>
      <c r="B15" s="96" t="inlineStr">
        <is>
          <t>HCPSS</t>
        </is>
      </c>
      <c r="C15" s="96" t="inlineStr">
        <is>
          <t>HCPSS-2026-CY</t>
        </is>
      </c>
      <c r="D15" s="96" t="inlineStr">
        <is>
          <t>INV-2026-011</t>
        </is>
      </c>
      <c r="E15" s="93" t="n">
        <v>11200</v>
      </c>
      <c r="F15" s="93" t="n">
        <v>11200</v>
      </c>
      <c r="G15" s="98" t="n">
        <v>46232</v>
      </c>
      <c r="H15" s="96" t="inlineStr">
        <is>
          <t>Monthly retainer — Jun 2026</t>
        </is>
      </c>
    </row>
    <row r="16" ht="15" customHeight="1" s="51">
      <c r="A16" s="98" t="n">
        <v>46203</v>
      </c>
      <c r="B16" s="96" t="inlineStr">
        <is>
          <t>First Brands Group</t>
        </is>
      </c>
      <c r="C16" s="96" t="inlineStr">
        <is>
          <t>FBG-2026-CY</t>
        </is>
      </c>
      <c r="D16" s="96" t="inlineStr">
        <is>
          <t>INV-2026-012</t>
        </is>
      </c>
      <c r="E16" s="93" t="n">
        <v>2500</v>
      </c>
      <c r="F16" s="93" t="n">
        <v>2500</v>
      </c>
      <c r="G16" s="98" t="n">
        <v>46232</v>
      </c>
      <c r="H16" s="96" t="inlineStr">
        <is>
          <t>Monthly retainer — Jun 2026</t>
        </is>
      </c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>
      <c r="A196" s="98" t="n"/>
      <c r="B196" s="96" t="n"/>
      <c r="C196" s="96" t="n"/>
      <c r="D196" s="96" t="n"/>
      <c r="E196" s="93" t="n"/>
      <c r="F196" s="93" t="n"/>
      <c r="G196" s="98" t="n"/>
      <c r="H196" s="96" t="n"/>
    </row>
    <row r="197" ht="15" customHeight="1" s="51">
      <c r="A197" s="98" t="n"/>
      <c r="B197" s="96" t="n"/>
      <c r="C197" s="96" t="n"/>
      <c r="D197" s="96" t="n"/>
      <c r="E197" s="93" t="n"/>
      <c r="F197" s="93" t="n"/>
      <c r="G197" s="98" t="n"/>
      <c r="H197" s="96" t="n"/>
    </row>
    <row r="198" ht="15" customHeight="1" s="51">
      <c r="A198" s="98" t="n"/>
      <c r="B198" s="96" t="n"/>
      <c r="C198" s="96" t="n"/>
      <c r="D198" s="96" t="n"/>
      <c r="E198" s="93" t="n"/>
      <c r="F198" s="93" t="n"/>
      <c r="G198" s="98" t="n"/>
      <c r="H198" s="96" t="n"/>
    </row>
    <row r="199" ht="15" customHeight="1" s="51">
      <c r="A199" s="98" t="n"/>
      <c r="B199" s="96" t="n"/>
      <c r="C199" s="96" t="n"/>
      <c r="D199" s="96" t="n"/>
      <c r="E199" s="93" t="n"/>
      <c r="F199" s="93" t="n"/>
      <c r="G199" s="98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OPP-019</t>
        </is>
      </c>
      <c r="B6" s="96" t="inlineStr">
        <is>
          <t>USDA Community Connect</t>
        </is>
      </c>
      <c r="C6" s="96" t="inlineStr">
        <is>
          <t>USDA Rural Utilities Service</t>
        </is>
      </c>
      <c r="D6" s="96" t="inlineStr">
        <is>
          <t>517311</t>
        </is>
      </c>
      <c r="E6" s="96" t="inlineStr">
        <is>
          <t>No-Bid</t>
        </is>
      </c>
      <c r="F6" s="93" t="n"/>
      <c r="G6" s="98" t="n">
        <v>46181</v>
      </c>
      <c r="H6" s="98" t="n">
        <v>46181</v>
      </c>
      <c r="I6" s="96" t="inlineStr">
        <is>
          <t>Khaalis Wooden</t>
        </is>
      </c>
      <c r="J6" s="96" t="inlineStr">
        <is>
          <t>NO-BID. Capability mismatch — broadband infrastructure, not healthcare IT. Formal DOCX pending.</t>
        </is>
      </c>
    </row>
    <row r="7" ht="15" customHeight="1" s="51">
      <c r="A7" s="96" t="inlineStr">
        <is>
          <t>OPP-020</t>
        </is>
      </c>
      <c r="B7" s="96" t="inlineStr">
        <is>
          <t>HRSA Rural Residency Planning &amp; Development</t>
        </is>
      </c>
      <c r="C7" s="96" t="inlineStr">
        <is>
          <t>HRSA</t>
        </is>
      </c>
      <c r="D7" s="96" t="inlineStr">
        <is>
          <t>541512</t>
        </is>
      </c>
      <c r="E7" s="96" t="inlineStr">
        <is>
          <t>No-Bid</t>
        </is>
      </c>
      <c r="F7" s="93" t="n"/>
      <c r="G7" s="98" t="n">
        <v>46181</v>
      </c>
      <c r="H7" s="98" t="n">
        <v>46181</v>
      </c>
      <c r="I7" s="96" t="inlineStr">
        <is>
          <t>Khaalis Wooden</t>
        </is>
      </c>
      <c r="J7" s="96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1">
      <c r="A8" s="96" t="inlineStr">
        <is>
          <t>OPP-021</t>
        </is>
      </c>
      <c r="B8" s="96" t="inlineStr">
        <is>
          <t>VA NEDIIS (36C10B26Q0078)</t>
        </is>
      </c>
      <c r="C8" s="96" t="inlineStr">
        <is>
          <t>VA OIT</t>
        </is>
      </c>
      <c r="D8" s="96" t="inlineStr">
        <is>
          <t>541512</t>
        </is>
      </c>
      <c r="E8" s="96" t="inlineStr">
        <is>
          <t>No-Bid</t>
        </is>
      </c>
      <c r="F8" s="93" t="n"/>
      <c r="G8" s="98" t="n">
        <v>46175</v>
      </c>
      <c r="H8" s="98" t="n">
        <v>46175</v>
      </c>
      <c r="I8" s="96" t="inlineStr">
        <is>
          <t>Khaalis Wooden</t>
        </is>
      </c>
      <c r="J8" s="96" t="inlineStr">
        <is>
          <t>NO-BID filed 6/2. Window closed + T4NG vehicle closed + 150-FTE PP floor. Watch GSA Alliant 3 SDVOSB pool finalization.</t>
        </is>
      </c>
    </row>
    <row r="9" ht="15" customHeight="1" s="51">
      <c r="A9" s="96" t="inlineStr">
        <is>
          <t>OPP-022</t>
        </is>
      </c>
      <c r="B9" s="96" t="inlineStr">
        <is>
          <t>SENTRY (CB26-RFQ0012) — CBO IT Support BPA, SMA 2 Cloud Service Support (J4 + J5)</t>
        </is>
      </c>
      <c r="C9" s="96" t="inlineStr">
        <is>
          <t>Congressional Budget Office (CBO)</t>
        </is>
      </c>
      <c r="D9" s="96" t="inlineStr">
        <is>
          <t>541512</t>
        </is>
      </c>
      <c r="E9" s="96" t="inlineStr">
        <is>
          <t>Capture</t>
        </is>
      </c>
      <c r="F9" s="97" t="n">
        <v>4000000</v>
      </c>
      <c r="G9" s="98" t="n">
        <v>46200</v>
      </c>
      <c r="H9" s="98" t="n">
        <v>46200</v>
      </c>
      <c r="I9" s="96" t="inlineStr">
        <is>
          <t>Khaalis Wooden</t>
        </is>
      </c>
      <c r="J9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10" ht="15" customHeight="1" s="51">
      <c r="A10" s="96" t="inlineStr">
        <is>
          <t>OPP-023</t>
        </is>
      </c>
      <c r="B10" s="96" t="inlineStr">
        <is>
          <t>IHS WebEHRS 2027-2032 (SS75H70126R00050) — RFI Response</t>
        </is>
      </c>
      <c r="C10" s="96" t="inlineStr">
        <is>
          <t>Indian Health Service (IHS) / HHS</t>
        </is>
      </c>
      <c r="D10" s="96" t="inlineStr">
        <is>
          <t>541511</t>
        </is>
      </c>
      <c r="E10" s="96" t="inlineStr">
        <is>
          <t>Submitted</t>
        </is>
      </c>
      <c r="F10" s="97" t="n"/>
      <c r="G10" s="98" t="n">
        <v>46210</v>
      </c>
      <c r="H10" s="98" t="n">
        <v>46210</v>
      </c>
      <c r="I10" s="96" t="inlineStr">
        <is>
          <t>Khaalis Wooden</t>
        </is>
      </c>
      <c r="J10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1">
      <c r="A11" s="96" t="n"/>
      <c r="B11" s="96" t="n"/>
      <c r="C11" s="96" t="n"/>
      <c r="D11" s="96" t="n"/>
      <c r="E11" s="96" t="n"/>
      <c r="F11" s="93" t="n"/>
      <c r="G11" s="98" t="n"/>
      <c r="H11" s="98" t="n"/>
      <c r="I11" s="96" t="n"/>
      <c r="J11" s="96" t="n"/>
    </row>
    <row r="12" ht="15" customHeight="1" s="51">
      <c r="A12" s="96" t="n"/>
      <c r="B12" s="96" t="n"/>
      <c r="C12" s="96" t="n"/>
      <c r="D12" s="96" t="n"/>
      <c r="E12" s="96" t="n"/>
      <c r="F12" s="93" t="n"/>
      <c r="G12" s="98" t="n"/>
      <c r="H12" s="98" t="n"/>
      <c r="I12" s="96" t="n"/>
      <c r="J12" s="96" t="n"/>
    </row>
    <row r="13" ht="15" customHeight="1" s="51">
      <c r="A13" s="96" t="n"/>
      <c r="B13" s="96" t="n"/>
      <c r="C13" s="96" t="n"/>
      <c r="D13" s="96" t="n"/>
      <c r="E13" s="96" t="n"/>
      <c r="F13" s="93" t="n"/>
      <c r="G13" s="98" t="n"/>
      <c r="H13" s="98" t="n"/>
      <c r="I13" s="96" t="n"/>
      <c r="J13" s="96" t="n"/>
    </row>
    <row r="14" ht="15" customHeight="1" s="51">
      <c r="A14" s="96" t="n"/>
      <c r="B14" s="96" t="n"/>
      <c r="C14" s="96" t="n"/>
      <c r="D14" s="96" t="n"/>
      <c r="E14" s="96" t="n"/>
      <c r="F14" s="93" t="n"/>
      <c r="G14" s="98" t="n"/>
      <c r="H14" s="98" t="n"/>
      <c r="I14" s="96" t="n"/>
      <c r="J14" s="96" t="n"/>
    </row>
    <row r="15" ht="15" customHeight="1" s="51">
      <c r="A15" s="96" t="n"/>
      <c r="B15" s="96" t="n"/>
      <c r="C15" s="96" t="n"/>
      <c r="D15" s="96" t="n"/>
      <c r="E15" s="96" t="n"/>
      <c r="F15" s="93" t="n"/>
      <c r="G15" s="98" t="n"/>
      <c r="H15" s="98" t="n"/>
      <c r="I15" s="96" t="n"/>
      <c r="J15" s="96" t="n"/>
    </row>
    <row r="16" ht="15" customHeight="1" s="51">
      <c r="A16" s="96" t="n"/>
      <c r="B16" s="96" t="n"/>
      <c r="C16" s="96" t="n"/>
      <c r="D16" s="96" t="n"/>
      <c r="E16" s="96" t="n"/>
      <c r="F16" s="93" t="n"/>
      <c r="G16" s="98" t="n"/>
      <c r="H16" s="98" t="n"/>
      <c r="I16" s="96" t="n"/>
      <c r="J16" s="96" t="n"/>
    </row>
    <row r="17" ht="15" customHeight="1" s="51">
      <c r="A17" s="96" t="n"/>
      <c r="B17" s="96" t="n"/>
      <c r="C17" s="96" t="n"/>
      <c r="D17" s="96" t="n"/>
      <c r="E17" s="96" t="n"/>
      <c r="F17" s="93" t="n"/>
      <c r="G17" s="98" t="n"/>
      <c r="H17" s="98" t="n"/>
      <c r="I17" s="96" t="n"/>
      <c r="J17" s="96" t="n"/>
    </row>
    <row r="18" ht="15" customHeight="1" s="51">
      <c r="A18" s="96" t="n"/>
      <c r="B18" s="96" t="n"/>
      <c r="C18" s="96" t="n"/>
      <c r="D18" s="96" t="n"/>
      <c r="E18" s="96" t="n"/>
      <c r="F18" s="93" t="n"/>
      <c r="G18" s="98" t="n"/>
      <c r="H18" s="98" t="n"/>
      <c r="I18" s="96" t="n"/>
      <c r="J18" s="96" t="n"/>
    </row>
    <row r="19" ht="15" customHeight="1" s="51">
      <c r="A19" s="96" t="n"/>
      <c r="B19" s="96" t="n"/>
      <c r="C19" s="96" t="n"/>
      <c r="D19" s="96" t="n"/>
      <c r="E19" s="96" t="n"/>
      <c r="F19" s="93" t="n"/>
      <c r="G19" s="98" t="n"/>
      <c r="H19" s="98" t="n"/>
      <c r="I19" s="96" t="n"/>
      <c r="J19" s="96" t="n"/>
    </row>
    <row r="20" ht="15" customHeight="1" s="51">
      <c r="A20" s="96" t="n"/>
      <c r="B20" s="96" t="n"/>
      <c r="C20" s="96" t="n"/>
      <c r="D20" s="96" t="n"/>
      <c r="E20" s="96" t="n"/>
      <c r="F20" s="93" t="n"/>
      <c r="G20" s="98" t="n"/>
      <c r="H20" s="98" t="n"/>
      <c r="I20" s="96" t="n"/>
      <c r="J20" s="96" t="n"/>
    </row>
    <row r="21" ht="15" customHeight="1" s="51">
      <c r="A21" s="96" t="n"/>
      <c r="B21" s="96" t="n"/>
      <c r="C21" s="96" t="n"/>
      <c r="D21" s="96" t="n"/>
      <c r="E21" s="96" t="n"/>
      <c r="F21" s="93" t="n"/>
      <c r="G21" s="98" t="n"/>
      <c r="H21" s="98" t="n"/>
      <c r="I21" s="96" t="n"/>
      <c r="J21" s="96" t="n"/>
    </row>
    <row r="22" ht="15" customHeight="1" s="51">
      <c r="A22" s="96" t="n"/>
      <c r="B22" s="96" t="n"/>
      <c r="C22" s="96" t="n"/>
      <c r="D22" s="96" t="n"/>
      <c r="E22" s="96" t="n"/>
      <c r="F22" s="93" t="n"/>
      <c r="G22" s="98" t="n"/>
      <c r="H22" s="98" t="n"/>
      <c r="I22" s="96" t="n"/>
      <c r="J22" s="96" t="n"/>
    </row>
    <row r="23" ht="15" customHeight="1" s="51">
      <c r="A23" s="96" t="n"/>
      <c r="B23" s="96" t="n"/>
      <c r="C23" s="96" t="n"/>
      <c r="D23" s="96" t="n"/>
      <c r="E23" s="96" t="n"/>
      <c r="F23" s="93" t="n"/>
      <c r="G23" s="98" t="n"/>
      <c r="H23" s="98" t="n"/>
      <c r="I23" s="96" t="n"/>
      <c r="J23" s="96" t="n"/>
    </row>
    <row r="24" ht="15" customHeight="1" s="51">
      <c r="A24" s="96" t="n"/>
      <c r="B24" s="96" t="n"/>
      <c r="C24" s="96" t="n"/>
      <c r="D24" s="96" t="n"/>
      <c r="E24" s="96" t="n"/>
      <c r="F24" s="93" t="n"/>
      <c r="G24" s="98" t="n"/>
      <c r="H24" s="98" t="n"/>
      <c r="I24" s="96" t="n"/>
      <c r="J24" s="96" t="n"/>
    </row>
    <row r="25" ht="15" customHeight="1" s="51">
      <c r="A25" s="96" t="n"/>
      <c r="B25" s="96" t="n"/>
      <c r="C25" s="96" t="n"/>
      <c r="D25" s="96" t="n"/>
      <c r="E25" s="96" t="n"/>
      <c r="F25" s="93" t="n"/>
      <c r="G25" s="98" t="n"/>
      <c r="H25" s="98" t="n"/>
      <c r="I25" s="96" t="n"/>
      <c r="J25" s="96" t="n"/>
    </row>
    <row r="26" ht="15" customHeight="1" s="51">
      <c r="A26" s="96" t="n"/>
      <c r="B26" s="96" t="n"/>
      <c r="C26" s="96" t="n"/>
      <c r="D26" s="96" t="n"/>
      <c r="E26" s="96" t="n"/>
      <c r="F26" s="93" t="n"/>
      <c r="G26" s="98" t="n"/>
      <c r="H26" s="98" t="n"/>
      <c r="I26" s="96" t="n"/>
      <c r="J26" s="96" t="n"/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Thomas Radcliffe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Alice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Frank Culmone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Reginald Phillippes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Frank Culmone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Reginald Phillippes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Alice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Thomas Radcliffe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2026-07-08T01:47:55Z</dcterms:modified>
  <cp:revision>0</cp:revision>
</cp:coreProperties>
</file>