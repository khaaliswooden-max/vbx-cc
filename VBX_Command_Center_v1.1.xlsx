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<sst xmlns="http://schemas.openxmlformats.org/spreadsheetml/2006/main" count="1189" uniqueCount="583">
  <si>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</si>
  <si>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</si>
  <si>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</si>
  <si>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</si>
  <si>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</si>
  <si>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</si>
  <si>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</si>
  <si>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</si>
  <si>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</si>
  <si>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</si>
  <si>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</si>
  <si>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</si>
  <si>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</si>
  <si>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</si>
  <si>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</si>
  <si>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Awards Won (#)</t>
  </si>
  <si>
    <t xml:space="preserve">Awarded TCV ($)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</si>
  <si>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</si>
  <si>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</si>
  <si>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</si>
  <si>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</si>
  <si>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</si>
  <si>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</si>
  <si>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</si>
  <si>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</si>
  <si>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</si>
  <si>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</si>
  <si>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</si>
  <si>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</si>
  <si>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</si>
  <si>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</si>
  <si>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</si>
  <si>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</si>
  <si>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</si>
  <si>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</si>
  <si>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</si>
  <si>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</si>
  <si>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</si>
  <si>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</si>
  <si>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</si>
  <si>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</si>
  <si>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</si>
  <si>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</si>
  <si>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</si>
  <si>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</si>
  <si>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</si>
  <si>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</si>
  <si>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</si>
  <si>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</si>
  <si>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</si>
  <si>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</si>
  <si>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</si>
  <si>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</si>
  <si>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</si>
  <si>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</si>
  <si>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</si>
  <si>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</si>
  <si>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</si>
  <si>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</si>
  <si>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</si>
  <si>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</si>
  <si>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</si>
  <si>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</si>
  <si>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</si>
  <si>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</si>
  <si>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</si>
  <si>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</si>
  <si>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</si>
  <si>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</si>
  <si>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</si>
  <si>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</si>
  <si>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</si>
  <si>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</si>
  <si>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</si>
  <si>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</si>
  <si>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</si>
  <si>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</si>
  <si>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</si>
  <si>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</si>
  <si>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</si>
  <si>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</si>
  <si>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</si>
  <si>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</si>
  <si>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</si>
  <si>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</si>
  <si>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</si>
  <si>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</si>
  <si>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</si>
  <si>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</si>
  <si>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</si>
  <si>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</si>
  <si>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</si>
  <si>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</si>
  <si>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</si>
  <si>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</si>
  <si>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</si>
  <si>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</si>
  <si>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</si>
  <si>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</si>
  <si>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</si>
  <si>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</si>
  <si>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</si>
  <si>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</si>
  <si>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</si>
  <si>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</si>
  <si>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</si>
  <si>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</si>
  <si>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</si>
  <si>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</si>
  <si>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</si>
  <si>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</si>
  <si>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</si>
  <si>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</si>
  <si>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</si>
  <si>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</si>
  <si>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</si>
  <si>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</si>
  <si>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</si>
  <si>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</si>
  <si>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</si>
  <si>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</si>
  <si>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</si>
  <si>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</si>
  <si>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</si>
  <si>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First Brands Group</t>
  </si>
  <si>
    <t xml:space="preserve">FBG-2026-CY</t>
  </si>
  <si>
    <t xml:space="preserve">INV-2026-002</t>
  </si>
  <si>
    <t xml:space="preserve">Monthly retainer — Jan 2026</t>
  </si>
  <si>
    <t xml:space="preserve">INV-2026-004</t>
  </si>
  <si>
    <t xml:space="preserve">Monthly retainer — Feb 2026</t>
  </si>
  <si>
    <t xml:space="preserve">INV-2026-006</t>
  </si>
  <si>
    <t xml:space="preserve">Monthly retainer — Mar 2026</t>
  </si>
  <si>
    <t xml:space="preserve">INV-2026-008</t>
  </si>
  <si>
    <t xml:space="preserve">Monthly retainer — Apr 2026</t>
  </si>
  <si>
    <t xml:space="preserve">HCPSS</t>
  </si>
  <si>
    <t xml:space="preserve">HCPSS-2026-CY</t>
  </si>
  <si>
    <t xml:space="preserve">INV-2026-009</t>
  </si>
  <si>
    <t xml:space="preserve">Monthly retainer — May 2026</t>
  </si>
  <si>
    <t xml:space="preserve">INV-2026-010</t>
  </si>
  <si>
    <t xml:space="preserve">INV-2026-011</t>
  </si>
  <si>
    <t xml:space="preserve">Monthly retainer — Jun 2026</t>
  </si>
  <si>
    <t xml:space="preserve">INV-2026-012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</si>
  <si>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</si>
  <si>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</si>
  <si>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</si>
  <si>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</si>
  <si>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</si>
  <si>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</si>
  <si>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</si>
  <si>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</si>
  <si>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</si>
  <si>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</si>
  <si>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</si>
  <si>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</si>
  <si>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</si>
  <si>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</si>
  <si>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</si>
  <si>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</si>
  <si>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</si>
  <si>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</si>
  <si>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</si>
  <si>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</si>
  <si>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</si>
  <si>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</si>
  <si>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</si>
  <si>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</si>
  <si>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</si>
  <si>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</si>
  <si>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</si>
  <si>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</si>
  <si>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</si>
  <si>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</si>
  <si>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</si>
  <si>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</si>
  <si>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</si>
  <si>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</si>
  <si>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</si>
  <si>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</si>
  <si>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</si>
  <si>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</si>
  <si>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</si>
  <si>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</si>
  <si>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</si>
  <si>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</si>
  <si>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</si>
  <si>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</si>
  <si>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</si>
  <si>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</si>
  <si>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</si>
  <si>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</si>
  <si>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</si>
  <si>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</si>
  <si>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</si>
  <si>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</si>
  <si>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</si>
  <si>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</si>
  <si>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</si>
  <si>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</si>
  <si>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</si>
  <si>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</si>
  <si>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</si>
  <si>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</si>
  <si>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</si>
  <si>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</si>
  <si>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</si>
  <si>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</si>
  <si>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</si>
  <si>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</si>
  <si>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</si>
  <si>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</si>
  <si>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</si>
  <si>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</si>
  <si>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</si>
  <si>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</si>
  <si>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</si>
  <si>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</si>
  <si>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</si>
  <si>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</si>
  <si>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</si>
  <si>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</si>
  <si>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</si>
  <si>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</si>
  <si>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</si>
  <si>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</si>
  <si>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</si>
  <si>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</si>
  <si>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</si>
  <si>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</si>
  <si>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</si>
  <si>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</si>
  <si>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</si>
  <si>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</si>
  <si>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</si>
  <si>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</si>
  <si>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</si>
  <si>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</si>
  <si>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</si>
  <si>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</si>
  <si>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</si>
  <si>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</si>
  <si>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</si>
  <si>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</si>
  <si>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</si>
  <si>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</si>
  <si>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</si>
  <si>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</si>
  <si>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</si>
  <si>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</si>
  <si>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</si>
  <si>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</si>
  <si>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</si>
  <si>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</si>
  <si>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</si>
  <si>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</si>
  <si>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</si>
  <si>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</si>
  <si>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</si>
  <si>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</si>
  <si>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</si>
  <si>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</si>
  <si>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</si>
  <si>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</si>
  <si>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</si>
  <si>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</si>
  <si>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</si>
  <si>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</si>
  <si>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</si>
  <si>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</si>
  <si>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</si>
  <si>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</si>
  <si>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</si>
  <si>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</si>
  <si>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</si>
  <si>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</si>
  <si>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</si>
  <si>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</si>
  <si>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</si>
  <si>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</si>
  <si>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</si>
  <si>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</si>
  <si>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</si>
  <si>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</si>
  <si>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</si>
  <si>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</si>
  <si>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</si>
  <si>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</si>
  <si>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Tracks 1 &amp; 2</t>
  </si>
  <si>
    <t xml:space="preserve">Montana State Procurement</t>
  </si>
  <si>
    <t xml:space="preserve">541511</t>
  </si>
  <si>
    <t xml:space="preserve">Awarded</t>
  </si>
  <si>
    <t xml:space="preserve"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</si>
  <si>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</si>
  <si>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</si>
  <si>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</si>
  <si>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</si>
  <si>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</si>
  <si>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</si>
  <si>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</si>
  <si>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</si>
  <si>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HRSA</t>
  </si>
  <si>
    <t xml:space="preserve">541512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</si>
  <si>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</si>
  <si>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</si>
  <si>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</si>
  <si>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</si>
  <si>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</si>
  <si>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OPP-022</t>
  </si>
  <si>
    <t xml:space="preserve">SENTRY (CB26-RFQ0012) — CBO IT Support BPA, SMA 2 Cloud Service Support (J4 + J5)</t>
  </si>
  <si>
    <t xml:space="preserve">Congressional Budget Office (CBO)</t>
  </si>
  <si>
    <t xml:space="preserve">Capture</t>
  </si>
  <si>
    <t xml:space="preserve"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</si>
  <si>
    <t xml:space="preserve">OPP-023</t>
  </si>
  <si>
    <t xml:space="preserve">IHS WebEHRS 2027-2032 (SS75H70126R00050) — RFI Response</t>
  </si>
  <si>
    <t xml:space="preserve">Indian Health Service (IHS) / HHS</t>
  </si>
  <si>
    <t xml:space="preserve">Submitted</t>
  </si>
  <si>
    <t xml:space="preserve"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</si>
  <si>
    <t xml:space="preserve">OPP-024</t>
  </si>
  <si>
    <t xml:space="preserve">WA HCA FSIPAP (RFI 2026HCA13) — Policy Transformation Lane</t>
  </si>
  <si>
    <t xml:space="preserve">Washington State Health Care Authority</t>
  </si>
  <si>
    <t xml:space="preserve">Qualified</t>
  </si>
  <si>
    <t xml:space="preserve">RFI response — NARROW LANE ONLY (policy/program transformation, lane 2). Score 4.6/10 Moderate; ~25% Pwin on downstream RFP. RFI due 8/19/26 5:00pm PT; cap response at 10 pages, B&amp;P at $6K. Incumbent risk: Acentra deeply embedded (ProviderOne + FHIR server). Response constraints: do NOT cite GSA SIN 54151HEAL; descriptive capability language only (RFI Sec. 4.6 IP-assignment breadth). Pre-submission blockers to clear: SOC 2 Type II status; WA Secretary of State registration records conflict. No published ceiling — no value booked; RFI intelligence play, excluded from win-rate scenario math.</t>
  </si>
  <si>
    <t xml:space="preserve">OPP-025</t>
  </si>
  <si>
    <t xml:space="preserve">WA DRS E-File Tax Reporting (RFP 26-03)</t>
  </si>
  <si>
    <t xml:space="preserve">Washington State Dept. of Retirement Systems</t>
  </si>
  <si>
    <t xml:space="preserve">541519</t>
  </si>
  <si>
    <t xml:space="preserve"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</si>
  <si>
    <t xml:space="preserve">OPP-026</t>
  </si>
  <si>
    <t xml:space="preserve">Army Enterprise IT Support — OTSG/MEDCOM (W9124J-27-R-ENTR)</t>
  </si>
  <si>
    <t xml:space="preserve">US Army MICC - Fort Sam Houston</t>
  </si>
  <si>
    <t xml:space="preserve">541513</t>
  </si>
  <si>
    <t xml:space="preserve"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</si>
  <si>
    <t xml:space="preserve">OPP-027</t>
  </si>
  <si>
    <t xml:space="preserve">DoS BASE — Boundaries &amp; Sovereignty Encyclopedia (19AQMM26N0296)</t>
  </si>
  <si>
    <t xml:space="preserve">US Dept. of State INR/GGI</t>
  </si>
  <si>
    <t xml:space="preserve">541360</t>
  </si>
  <si>
    <t xml:space="preserve"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</si>
  <si>
    <t xml:space="preserve">OPP-028</t>
  </si>
  <si>
    <t xml:space="preserve">MARFORRES AI Manpower &amp; Readiness (M6786126IMKMAI) — Sources Sought Response</t>
  </si>
  <si>
    <t xml:space="preserve">USMC Forces Reserve (MFR G-1 / MCIRSA)</t>
  </si>
  <si>
    <t xml:space="preserve"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</si>
  <si>
    <t xml:space="preserve">OPP-029</t>
  </si>
  <si>
    <t xml:space="preserve">DHA ARMOR — Integrated Workforce &amp; Readiness Platform (ARMOR001) — RFI Response</t>
  </si>
  <si>
    <t xml:space="preserve">Defense Health Agency (DHMS-CD, Rosslyn VA)</t>
  </si>
  <si>
    <t xml:space="preserve"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</si>
  <si>
    <t xml:space="preserve">OPP-030</t>
  </si>
  <si>
    <t xml:space="preserve">USGS NEIC AI/ML &amp; Data Streaming Development (140G0226Q0049) — Sources Sought Response</t>
  </si>
  <si>
    <t xml:space="preserve">USGS / DOI (OAG-Denver)</t>
  </si>
  <si>
    <t xml:space="preserve"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</si>
  <si>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</si>
  <si>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</si>
  <si>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</si>
  <si>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</si>
  <si>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</si>
  <si>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</si>
  <si>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</si>
  <si>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</si>
  <si>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</si>
  <si>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</si>
  <si>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</si>
  <si>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</si>
  <si>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</si>
  <si>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</si>
  <si>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</si>
  <si>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</si>
  <si>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</si>
  <si>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</si>
  <si>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</si>
  <si>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</si>
  <si>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</si>
  <si>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</si>
  <si>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</si>
  <si>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</si>
  <si>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</si>
  <si>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</si>
  <si>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</si>
  <si>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</si>
  <si>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</si>
  <si>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</si>
  <si>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</si>
  <si>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</si>
  <si>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</si>
  <si>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</si>
  <si>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</si>
  <si>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</si>
  <si>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</si>
  <si>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</si>
  <si>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</si>
  <si>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</si>
  <si>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</si>
  <si>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</si>
  <si>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</si>
  <si>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</si>
  <si>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</si>
  <si>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</si>
  <si>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</si>
  <si>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</si>
  <si>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</si>
  <si>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</si>
  <si>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</si>
  <si>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</si>
  <si>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</si>
  <si>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</si>
  <si>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</si>
  <si>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</si>
  <si>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</si>
  <si>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</si>
  <si>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</si>
  <si>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</si>
  <si>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</si>
  <si>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</si>
  <si>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Thomas Radcliffe</t>
  </si>
  <si>
    <t xml:space="preserve">Federal IT</t>
  </si>
  <si>
    <t xml:space="preserve">–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</si>
  <si>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</si>
  <si>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</si>
  <si>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</si>
  <si>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</si>
  <si>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</si>
  <si>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</si>
  <si>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</si>
  <si>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</si>
  <si>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</si>
  <si>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</si>
  <si>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</si>
  <si>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</si>
  <si>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</si>
  <si>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</si>
  <si>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</si>
  <si>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</si>
  <si>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</si>
  <si>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</si>
  <si>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</si>
  <si>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</si>
  <si>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</si>
  <si>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</si>
  <si>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</si>
  <si>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</si>
  <si>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</si>
  <si>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</si>
  <si>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</si>
  <si>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</si>
  <si>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</si>
  <si>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</si>
  <si>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</si>
  <si>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</si>
  <si>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</si>
  <si>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</si>
  <si>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</si>
  <si>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</si>
  <si>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</si>
  <si>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</si>
  <si>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</si>
  <si>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</si>
  <si>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</si>
  <si>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</si>
  <si>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</si>
  <si>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</si>
  <si>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</si>
  <si>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</si>
  <si>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</si>
  <si>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</si>
  <si>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</si>
  <si>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</si>
  <si>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</si>
  <si>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</si>
  <si>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</si>
  <si>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</si>
  <si>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</si>
  <si>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</si>
  <si>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</si>
  <si>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</si>
  <si>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</si>
  <si>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</si>
  <si>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</si>
  <si>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</si>
  <si>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</si>
  <si>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</si>
  <si>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</si>
  <si>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</si>
  <si>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</si>
  <si>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</si>
  <si>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Alice Parenti</t>
  </si>
  <si>
    <t xml:space="preserve">Grit Government Solutions</t>
  </si>
  <si>
    <t xml:space="preserve">Frank Culmone</t>
  </si>
  <si>
    <t xml:space="preserve">Candidate Solutions</t>
  </si>
  <si>
    <t xml:space="preserve">Linda Wiggins</t>
  </si>
  <si>
    <t xml:space="preserve">Novarens Systems</t>
  </si>
  <si>
    <t xml:space="preserve">Reginald Phillippes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</si>
  <si>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</si>
  <si>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</si>
  <si>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</si>
  <si>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</si>
  <si>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</si>
  <si>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</si>
  <si>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</si>
  <si>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</si>
  <si>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</si>
  <si>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</si>
  <si>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</si>
  <si>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</si>
  <si>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</si>
  <si>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</si>
  <si>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</si>
  <si>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</si>
  <si>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</si>
  <si>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</si>
  <si>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</si>
  <si>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</si>
  <si>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</si>
  <si>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</si>
  <si>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</si>
  <si>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</si>
  <si>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</si>
  <si>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</si>
  <si>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</si>
  <si>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</si>
  <si>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</si>
  <si>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</si>
  <si>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</si>
  <si>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</si>
  <si>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</si>
  <si>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</si>
  <si>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</si>
  <si>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</si>
  <si>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</si>
  <si>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NDS Ventures, LLC dba Artemis HCM</t>
  </si>
  <si>
    <t xml:space="preserve">Nick (Nicholas D.) Schutt — CEO</t>
  </si>
  <si>
    <t xml:space="preserve">– (VA LLC; staffing vendor)</t>
  </si>
  <si>
    <t xml:space="preserve">GovCon Staffing / Recruiting (J4 LCAT sourcing)</t>
  </si>
  <si>
    <t xml:space="preserve">PENDING</t>
  </si>
  <si>
    <t xml:space="preserve">7/7/2026</t>
  </si>
  <si>
    <t xml:space="preserve">Zachary Piper Solutions, LLC</t>
  </si>
  <si>
    <t xml:space="preserve">Dave Ambrose — Sales Director</t>
  </si>
  <si>
    <t xml:space="preserve">Cleared Staffing / GovCon Labor (J4 LCAT)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</si>
  <si>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</si>
  <si>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</si>
  <si>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</si>
  <si>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</si>
  <si>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</si>
  <si>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</si>
  <si>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</si>
  <si>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</si>
  <si>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</si>
  <si>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</si>
  <si>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</si>
  <si>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</si>
  <si>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</si>
  <si>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</si>
  <si>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</si>
  <si>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</si>
  <si>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</si>
  <si>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</si>
  <si>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</si>
  <si>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</si>
  <si>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</si>
  <si>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</si>
  <si>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</si>
  <si>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</si>
  <si>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</si>
  <si>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</si>
  <si>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</si>
  <si>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</si>
  <si>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</si>
  <si>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</si>
  <si>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</si>
  <si>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Saarthee LLC</t>
  </si>
  <si>
    <t xml:space="preserve">Visionblox_NDA_Saarthee_20260706.pdf</t>
  </si>
  <si>
    <t xml:space="preserve">Dave Ambrose</t>
  </si>
  <si>
    <t xml:space="preserve">Visionblox_NDA_ZacharyPiperSolutions_20260705.pdf</t>
  </si>
  <si>
    <t xml:space="preserve">Proksi Systems (Penn Testing BPA)</t>
  </si>
  <si>
    <t xml:space="preserve">Proksi_VisionBlox_NDA_PennTesting.docx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</si>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</sst>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  <numFmt numFmtId="170" formatCode="\$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46224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37400</v>
      </c>
      <c r="E8" s="10" t="n">
        <f aca="false">Targets!C12</f>
        <v>-60231</v>
      </c>
      <c r="F8" s="11" t="n">
        <f aca="false">Targets!C13</f>
        <v>60231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6</v>
      </c>
      <c r="D12" s="9" t="n">
        <f aca="false">SUMIFS(Pipeline!F5:F1000,Pipeline!E5:E1000,"&lt;&gt;Awarded",Pipeline!E5:E1000,"&lt;&gt;Lost",Pipeline!E5:E1000,"&lt;&gt;No-Bid",Pipeline!E5:E1000,"&lt;&gt;")</f>
        <v>4000000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22</v>
      </c>
      <c r="G12" s="12" t="n">
        <f aca="false">COUNTIF(Pipeline!E5:E1000,"Awarded")</f>
        <v>1</v>
      </c>
      <c r="H12" s="9" t="n">
        <f aca="false">SUMIF(Pipeline!E5:E1000,"Awarded",Pipeline!F5:F1000)</f>
        <v>2000000</v>
      </c>
    </row>
    <row r="14" customFormat="false" ht="15" hidden="false" customHeight="true" outlineLevel="0" collapsed="false">
      <c r="B14" s="7" t="s">
        <v>17</v>
      </c>
    </row>
    <row r="15" customFormat="false" ht="25.5" hidden="false" customHeight="true" outlineLevel="0" collapsed="false">
      <c r="B15" s="13" t="s">
        <v>18</v>
      </c>
      <c r="C15" s="13" t="s">
        <v>19</v>
      </c>
      <c r="D15" s="13" t="s">
        <v>20</v>
      </c>
      <c r="E15" s="13" t="s">
        <v>21</v>
      </c>
      <c r="F15" s="13" t="s">
        <v>22</v>
      </c>
      <c r="G15" s="13" t="s">
        <v>23</v>
      </c>
      <c r="H15" s="13" t="s">
        <v>24</v>
      </c>
      <c r="I15" s="13" t="s">
        <v>25</v>
      </c>
      <c r="J15" s="13" t="s">
        <v>26</v>
      </c>
    </row>
    <row r="16" customFormat="false" ht="15" hidden="false" customHeight="true" outlineLevel="0" collapsed="false">
      <c r="B16" s="14" t="s">
        <v>27</v>
      </c>
      <c r="C16" s="15" t="n">
        <f aca="false">Metrics_Period!C5</f>
        <v>0</v>
      </c>
      <c r="D16" s="15" t="n">
        <f aca="false">Metrics_Period!D5</f>
        <v>2</v>
      </c>
      <c r="E16" s="16" t="n">
        <f aca="false">Metrics_Period!E5</f>
        <v>-1</v>
      </c>
      <c r="F16" s="15" t="n">
        <f aca="false">Metrics_Period!F5</f>
        <v>2</v>
      </c>
      <c r="G16" s="15" t="n">
        <f aca="false">Metrics_Period!G5</f>
        <v>12</v>
      </c>
      <c r="H16" s="16" t="n">
        <f aca="false">Metrics_Period!H5</f>
        <v>-0.833333333333333</v>
      </c>
      <c r="I16" s="15" t="n">
        <f aca="false">Metrics_Period!I5</f>
        <v>26</v>
      </c>
      <c r="J16" s="16" t="n">
        <f aca="false">Metrics_Period!J5</f>
        <v>-0.923076923076923</v>
      </c>
    </row>
    <row r="17" customFormat="false" ht="15" hidden="false" customHeight="true" outlineLevel="0" collapsed="false">
      <c r="B17" s="14" t="s">
        <v>28</v>
      </c>
      <c r="C17" s="15" t="n">
        <f aca="false">Metrics_Period!C6</f>
        <v>0</v>
      </c>
      <c r="D17" s="15" t="n">
        <f aca="false">Metrics_Period!D6</f>
        <v>0</v>
      </c>
      <c r="E17" s="16" t="n">
        <f aca="false">Metrics_Period!E6</f>
        <v>0</v>
      </c>
      <c r="F17" s="15" t="n">
        <f aca="false">Metrics_Period!F6</f>
        <v>2</v>
      </c>
      <c r="G17" s="15" t="n">
        <f aca="false">Metrics_Period!G6</f>
        <v>0</v>
      </c>
      <c r="H17" s="16" t="n">
        <f aca="false">Metrics_Period!H6</f>
        <v>0</v>
      </c>
      <c r="I17" s="15" t="n">
        <f aca="false">Metrics_Period!I6</f>
        <v>9</v>
      </c>
      <c r="J17" s="16" t="n">
        <f aca="false">Metrics_Period!J6</f>
        <v>-0.777777777777778</v>
      </c>
    </row>
    <row r="18" customFormat="false" ht="15" hidden="false" customHeight="true" outlineLevel="0" collapsed="false">
      <c r="B18" s="14" t="s">
        <v>29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0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-1</v>
      </c>
    </row>
    <row r="19" customFormat="false" ht="15" hidden="false" customHeight="true" outlineLevel="0" collapsed="false">
      <c r="B19" s="14" t="s">
        <v>30</v>
      </c>
      <c r="C19" s="15" t="n">
        <f aca="false">Metrics_Period!C8</f>
        <v>0</v>
      </c>
      <c r="D19" s="15" t="n">
        <f aca="false">Metrics_Period!D8</f>
        <v>0</v>
      </c>
      <c r="E19" s="16" t="n">
        <f aca="false">Metrics_Period!E8</f>
        <v>0</v>
      </c>
      <c r="F19" s="15" t="n">
        <f aca="false">Metrics_Period!F8</f>
        <v>0</v>
      </c>
      <c r="G19" s="15" t="n">
        <f aca="false">Metrics_Period!G8</f>
        <v>9</v>
      </c>
      <c r="H19" s="16" t="n">
        <f aca="false">Metrics_Period!H8</f>
        <v>-1</v>
      </c>
      <c r="I19" s="15" t="n">
        <f aca="false">Metrics_Period!I8</f>
        <v>9</v>
      </c>
      <c r="J19" s="16" t="n">
        <f aca="false">Metrics_Period!J8</f>
        <v>-1</v>
      </c>
    </row>
    <row r="20" customFormat="false" ht="15" hidden="false" customHeight="true" outlineLevel="0" collapsed="false">
      <c r="B20" s="14" t="s">
        <v>31</v>
      </c>
      <c r="C20" s="15" t="n">
        <f aca="false">Metrics_Period!C9</f>
        <v>4</v>
      </c>
      <c r="D20" s="15" t="n">
        <f aca="false">Metrics_Period!D9</f>
        <v>4</v>
      </c>
      <c r="E20" s="16" t="n">
        <f aca="false">Metrics_Period!E9</f>
        <v>0</v>
      </c>
      <c r="F20" s="15" t="n">
        <f aca="false">Metrics_Period!F9</f>
        <v>9</v>
      </c>
      <c r="G20" s="15" t="n">
        <f aca="false">Metrics_Period!G9</f>
        <v>3</v>
      </c>
      <c r="H20" s="16" t="n">
        <f aca="false">Metrics_Period!H9</f>
        <v>2</v>
      </c>
      <c r="I20" s="15" t="n">
        <f aca="false">Metrics_Period!I9</f>
        <v>4</v>
      </c>
      <c r="J20" s="16" t="n">
        <f aca="false">Metrics_Period!J9</f>
        <v>1.25</v>
      </c>
    </row>
    <row r="22" customFormat="false" ht="15" hidden="false" customHeight="true" outlineLevel="0" collapsed="false">
      <c r="B22" s="7" t="s">
        <v>32</v>
      </c>
    </row>
    <row r="23" customFormat="false" ht="25.5" hidden="false" customHeight="true" outlineLevel="0" collapsed="false">
      <c r="B23" s="13" t="s">
        <v>33</v>
      </c>
      <c r="C23" s="13" t="s">
        <v>19</v>
      </c>
      <c r="D23" s="13" t="s">
        <v>20</v>
      </c>
      <c r="E23" s="13" t="s">
        <v>21</v>
      </c>
      <c r="F23" s="13" t="s">
        <v>22</v>
      </c>
      <c r="G23" s="13" t="s">
        <v>23</v>
      </c>
      <c r="H23" s="13" t="s">
        <v>24</v>
      </c>
      <c r="I23" s="13" t="s">
        <v>34</v>
      </c>
      <c r="J23" s="13" t="s">
        <v>35</v>
      </c>
    </row>
    <row r="24" customFormat="false" ht="45.75" hidden="false" customHeight="true" outlineLevel="0" collapsed="false">
      <c r="B24" s="14" t="s">
        <v>36</v>
      </c>
      <c r="C24" s="17" t="n">
        <f aca="false">Metrics_Period!C13</f>
        <v>0</v>
      </c>
      <c r="D24" s="17" t="n">
        <f aca="false">Metrics_Period!D13</f>
        <v>0</v>
      </c>
      <c r="E24" s="16" t="n">
        <f aca="false">Metrics_Period!E13</f>
        <v>0</v>
      </c>
      <c r="F24" s="17" t="n">
        <f aca="false">Metrics_Period!F13</f>
        <v>13700</v>
      </c>
      <c r="G24" s="17" t="n">
        <f aca="false">Metrics_Period!G13</f>
        <v>13700</v>
      </c>
      <c r="H24" s="16" t="n">
        <f aca="false">Metrics_Period!H13</f>
        <v>0</v>
      </c>
      <c r="I24" s="17" t="n">
        <f aca="false">Metrics_Period!K13</f>
        <v>29900</v>
      </c>
      <c r="J24" s="17" t="n">
        <f aca="false">Metrics_Period!L13</f>
        <v>37400</v>
      </c>
    </row>
    <row r="25" customFormat="false" ht="15" hidden="false" customHeight="true" outlineLevel="0" collapsed="false">
      <c r="B25" s="14" t="s">
        <v>37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38</v>
      </c>
      <c r="C26" s="17" t="n">
        <f aca="false">Metrics_Period!C15</f>
        <v>0</v>
      </c>
      <c r="D26" s="17" t="n">
        <f aca="false">Metrics_Period!D15</f>
        <v>0</v>
      </c>
      <c r="E26" s="16" t="n">
        <f aca="false">Metrics_Period!E15</f>
        <v>0</v>
      </c>
      <c r="F26" s="17" t="n">
        <f aca="false">Metrics_Period!F15</f>
        <v>13700</v>
      </c>
      <c r="G26" s="17" t="n">
        <f aca="false">Metrics_Period!G15</f>
        <v>13700</v>
      </c>
      <c r="H26" s="16" t="n">
        <f aca="false">Metrics_Period!H15</f>
        <v>0</v>
      </c>
      <c r="I26" s="17" t="n">
        <f aca="false">Metrics_Period!K15</f>
        <v>29900</v>
      </c>
      <c r="J26" s="17" t="n">
        <f aca="false">Metrics_Period!L15</f>
        <v>37400</v>
      </c>
    </row>
    <row r="27" customFormat="false" ht="45.75" hidden="false" customHeight="true" outlineLevel="0" collapsed="false">
      <c r="B27" s="14" t="s">
        <v>39</v>
      </c>
      <c r="C27" s="17" t="n">
        <f aca="false">Targets!C6/365*7</f>
        <v>4307.99178082192</v>
      </c>
      <c r="D27" s="17" t="n">
        <f aca="false">Targets!C6/365*7</f>
        <v>4307.99178082192</v>
      </c>
      <c r="E27" s="16" t="n">
        <f aca="false">0</f>
        <v>0</v>
      </c>
      <c r="F27" s="17" t="n">
        <f aca="false">Targets!C6/365*30</f>
        <v>18462.8219178082</v>
      </c>
      <c r="G27" s="17" t="n">
        <f aca="false">Targets!C6/365*30</f>
        <v>18462.8219178082</v>
      </c>
      <c r="H27" s="16" t="n">
        <f aca="false">0</f>
        <v>0</v>
      </c>
      <c r="I27" s="17" t="n">
        <f aca="false">Targets!C6/365*91</f>
        <v>56003.8931506849</v>
      </c>
      <c r="J27" s="17" t="n">
        <f aca="false">Targets!C6/365*(As_Of_Date-DATE(YEAR(As_Of_Date),1,1)+1)</f>
        <v>124316.334246575</v>
      </c>
    </row>
    <row r="28" customFormat="false" ht="57" hidden="false" customHeight="true" outlineLevel="0" collapsed="false">
      <c r="B28" s="18" t="s">
        <v>40</v>
      </c>
      <c r="C28" s="19" t="n">
        <f aca="false">C24-C27</f>
        <v>-4307.99178082192</v>
      </c>
      <c r="D28" s="19" t="n">
        <f aca="false">D24-D27</f>
        <v>-4307.99178082192</v>
      </c>
      <c r="E28" s="20" t="n">
        <f aca="false">IFERROR((C28-D28)/IF(D28=0,1,ABS(D28)),0)</f>
        <v>0</v>
      </c>
      <c r="F28" s="19" t="n">
        <f aca="false">F24-F27</f>
        <v>-4762.82191780822</v>
      </c>
      <c r="G28" s="19" t="n">
        <f aca="false">G24-G27</f>
        <v>-4762.82191780822</v>
      </c>
      <c r="H28" s="20" t="n">
        <f aca="false">IFERROR((F28-G28)/IF(G28=0,1,ABS(G28)),0)</f>
        <v>0</v>
      </c>
      <c r="I28" s="19" t="n">
        <f aca="false">I24-I27</f>
        <v>-26103.8931506849</v>
      </c>
      <c r="J28" s="19" t="n">
        <f aca="false">J24-J27</f>
        <v>-86916.3342465754</v>
      </c>
    </row>
    <row r="30" customFormat="false" ht="36" hidden="false" customHeight="true" outlineLevel="0" collapsed="false">
      <c r="B30" s="21" t="s">
        <v>41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42</v>
      </c>
    </row>
    <row r="33" customFormat="false" ht="15" hidden="false" customHeight="true" outlineLevel="0" collapsed="false">
      <c r="B33" s="22" t="s">
        <v>43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44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45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46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47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48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49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50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51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52</v>
      </c>
      <c r="C6" s="26" t="n">
        <v>224631</v>
      </c>
      <c r="D6" s="25" t="s">
        <v>53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54</v>
      </c>
      <c r="C7" s="27" t="n">
        <f aca="false">C5-C6</f>
        <v>275369</v>
      </c>
      <c r="D7" s="25" t="s">
        <v>55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56</v>
      </c>
      <c r="C9" s="26" t="n">
        <v>134400</v>
      </c>
      <c r="D9" s="25" t="s">
        <v>57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58</v>
      </c>
      <c r="C10" s="26" t="n">
        <v>30000</v>
      </c>
      <c r="D10" s="25" t="s">
        <v>57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59</v>
      </c>
      <c r="C11" s="27" t="n">
        <f aca="false">C9+C10</f>
        <v>164400</v>
      </c>
      <c r="D11" s="25" t="s">
        <v>60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61</v>
      </c>
      <c r="C12" s="30" t="n">
        <f aca="false">C11-C6</f>
        <v>-60231</v>
      </c>
      <c r="D12" s="25" t="s">
        <v>62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60231</v>
      </c>
      <c r="D13" s="25" t="s">
        <v>63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64</v>
      </c>
      <c r="C14" s="30" t="n">
        <f aca="false">C5-C11</f>
        <v>335600</v>
      </c>
      <c r="D14" s="25" t="s">
        <v>65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66</v>
      </c>
    </row>
    <row r="18" customFormat="false" ht="27.75" hidden="false" customHeight="true" outlineLevel="0" collapsed="false">
      <c r="B18" s="13" t="s">
        <v>67</v>
      </c>
      <c r="C18" s="13" t="s">
        <v>68</v>
      </c>
      <c r="D18" s="13" t="s">
        <v>69</v>
      </c>
      <c r="E18" s="13" t="s">
        <v>70</v>
      </c>
      <c r="F18" s="13" t="s">
        <v>71</v>
      </c>
    </row>
    <row r="19" customFormat="false" ht="15" hidden="false" customHeight="true" outlineLevel="0" collapsed="false">
      <c r="B19" s="14" t="s">
        <v>72</v>
      </c>
      <c r="C19" s="27" t="n">
        <f aca="false">$C$5/12</f>
        <v>41666.6666666667</v>
      </c>
      <c r="D19" s="27" t="n">
        <f aca="false">$C$6/12</f>
        <v>18719.25</v>
      </c>
      <c r="E19" s="27" t="n">
        <f aca="false">C19-D19</f>
        <v>22947.4166666667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73</v>
      </c>
      <c r="C20" s="27" t="n">
        <f aca="false">$C$5/12</f>
        <v>41666.6666666667</v>
      </c>
      <c r="D20" s="27" t="n">
        <f aca="false">$C$6/12</f>
        <v>18719.25</v>
      </c>
      <c r="E20" s="27" t="n">
        <f aca="false">C20-D20</f>
        <v>22947.4166666667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74</v>
      </c>
      <c r="C21" s="27" t="n">
        <f aca="false">$C$5/12</f>
        <v>41666.6666666667</v>
      </c>
      <c r="D21" s="27" t="n">
        <f aca="false">$C$6/12</f>
        <v>18719.25</v>
      </c>
      <c r="E21" s="27" t="n">
        <f aca="false">C21-D21</f>
        <v>22947.4166666667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75</v>
      </c>
      <c r="C22" s="27" t="n">
        <f aca="false">$C$5/12</f>
        <v>41666.6666666667</v>
      </c>
      <c r="D22" s="27" t="n">
        <f aca="false">$C$6/12</f>
        <v>18719.25</v>
      </c>
      <c r="E22" s="27" t="n">
        <f aca="false">C22-D22</f>
        <v>22947.4166666667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76</v>
      </c>
      <c r="C23" s="27" t="n">
        <f aca="false">$C$5/12</f>
        <v>41666.6666666667</v>
      </c>
      <c r="D23" s="27" t="n">
        <f aca="false">$C$6/12</f>
        <v>18719.25</v>
      </c>
      <c r="E23" s="27" t="n">
        <f aca="false">C23-D23</f>
        <v>22947.4166666667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77</v>
      </c>
      <c r="C24" s="27" t="n">
        <f aca="false">$C$5/12</f>
        <v>41666.6666666667</v>
      </c>
      <c r="D24" s="27" t="n">
        <f aca="false">$C$6/12</f>
        <v>18719.25</v>
      </c>
      <c r="E24" s="27" t="n">
        <f aca="false">C24-D24</f>
        <v>22947.4166666667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78</v>
      </c>
      <c r="C25" s="27" t="n">
        <f aca="false">$C$5/12</f>
        <v>41666.6666666667</v>
      </c>
      <c r="D25" s="27" t="n">
        <f aca="false">$C$6/12</f>
        <v>18719.25</v>
      </c>
      <c r="E25" s="27" t="n">
        <f aca="false">C25-D25</f>
        <v>22947.4166666667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79</v>
      </c>
      <c r="C26" s="27" t="n">
        <f aca="false">$C$5/12</f>
        <v>41666.6666666667</v>
      </c>
      <c r="D26" s="27" t="n">
        <f aca="false">$C$6/12</f>
        <v>18719.25</v>
      </c>
      <c r="E26" s="27" t="n">
        <f aca="false">C26-D26</f>
        <v>22947.4166666667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80</v>
      </c>
      <c r="C27" s="27" t="n">
        <f aca="false">$C$5/12</f>
        <v>41666.6666666667</v>
      </c>
      <c r="D27" s="27" t="n">
        <f aca="false">$C$6/12</f>
        <v>18719.25</v>
      </c>
      <c r="E27" s="27" t="n">
        <f aca="false">C27-D27</f>
        <v>22947.4166666667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81</v>
      </c>
      <c r="C28" s="27" t="n">
        <f aca="false">$C$5/12</f>
        <v>41666.6666666667</v>
      </c>
      <c r="D28" s="27" t="n">
        <f aca="false">$C$6/12</f>
        <v>18719.25</v>
      </c>
      <c r="E28" s="27" t="n">
        <f aca="false">C28-D28</f>
        <v>22947.4166666667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82</v>
      </c>
      <c r="C29" s="27" t="n">
        <f aca="false">$C$5/12</f>
        <v>41666.6666666667</v>
      </c>
      <c r="D29" s="27" t="n">
        <f aca="false">$C$6/12</f>
        <v>18719.25</v>
      </c>
      <c r="E29" s="27" t="n">
        <f aca="false">C29-D29</f>
        <v>22947.4166666667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83</v>
      </c>
      <c r="C30" s="27" t="n">
        <f aca="false">$C$5/12</f>
        <v>41666.6666666667</v>
      </c>
      <c r="D30" s="27" t="n">
        <f aca="false">$C$6/12</f>
        <v>18719.25</v>
      </c>
      <c r="E30" s="27" t="n">
        <f aca="false">C30-D30</f>
        <v>22947.4166666667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84</v>
      </c>
    </row>
    <row r="33" customFormat="false" ht="27.75" hidden="false" customHeight="true" outlineLevel="0" collapsed="false">
      <c r="B33" s="13" t="s">
        <v>18</v>
      </c>
      <c r="C33" s="13" t="s">
        <v>85</v>
      </c>
      <c r="D33" s="13" t="s">
        <v>86</v>
      </c>
      <c r="E33" s="13" t="s">
        <v>87</v>
      </c>
      <c r="F33" s="13" t="s">
        <v>88</v>
      </c>
      <c r="G33" s="13" t="s">
        <v>89</v>
      </c>
    </row>
    <row r="34" customFormat="false" ht="15" hidden="false" customHeight="true" outlineLevel="0" collapsed="false">
      <c r="B34" s="14" t="s">
        <v>27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90</v>
      </c>
    </row>
    <row r="35" customFormat="false" ht="15" hidden="false" customHeight="true" outlineLevel="0" collapsed="false">
      <c r="B35" s="14" t="s">
        <v>91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92</v>
      </c>
    </row>
    <row r="36" customFormat="false" ht="15" hidden="false" customHeight="true" outlineLevel="0" collapsed="false">
      <c r="B36" s="14" t="s">
        <v>93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94</v>
      </c>
    </row>
    <row r="37" customFormat="false" ht="15" hidden="false" customHeight="true" outlineLevel="0" collapsed="false">
      <c r="B37" s="14" t="s">
        <v>30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95</v>
      </c>
    </row>
    <row r="38" customFormat="false" ht="15" hidden="false" customHeight="true" outlineLevel="0" collapsed="false">
      <c r="B38" s="14" t="s">
        <v>31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96</v>
      </c>
    </row>
    <row r="41" customFormat="false" ht="15" hidden="false" customHeight="true" outlineLevel="0" collapsed="false">
      <c r="B41" s="7" t="s">
        <v>97</v>
      </c>
    </row>
    <row r="42" customFormat="false" ht="15" hidden="false" customHeight="true" outlineLevel="0" collapsed="false">
      <c r="B42" s="23" t="s">
        <v>98</v>
      </c>
      <c r="C42" s="35" t="n">
        <v>20</v>
      </c>
      <c r="D42" s="36" t="s">
        <v>99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100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101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102</v>
      </c>
      <c r="B4" s="13" t="s">
        <v>18</v>
      </c>
      <c r="C4" s="13" t="s">
        <v>19</v>
      </c>
      <c r="D4" s="13" t="s">
        <v>20</v>
      </c>
      <c r="E4" s="13" t="s">
        <v>21</v>
      </c>
      <c r="F4" s="13" t="s">
        <v>22</v>
      </c>
      <c r="G4" s="13" t="s">
        <v>23</v>
      </c>
      <c r="H4" s="13" t="s">
        <v>24</v>
      </c>
      <c r="I4" s="13" t="s">
        <v>25</v>
      </c>
      <c r="J4" s="13" t="s">
        <v>26</v>
      </c>
      <c r="K4" s="13" t="s">
        <v>34</v>
      </c>
      <c r="L4" s="13" t="s">
        <v>103</v>
      </c>
      <c r="M4" s="13" t="s">
        <v>104</v>
      </c>
      <c r="N4" s="13" t="s">
        <v>105</v>
      </c>
    </row>
    <row r="5" customFormat="false" ht="15" hidden="false" customHeight="true" outlineLevel="0" collapsed="false">
      <c r="A5" s="38" t="n">
        <v>1</v>
      </c>
      <c r="B5" s="14" t="s">
        <v>27</v>
      </c>
      <c r="C5" s="39" t="n">
        <f aca="false">COUNTIFS(Screenings!E:E,"&gt;="&amp;As_Of_Date-7,Screenings!E:E,"&lt;="&amp;As_Of_Date-0)</f>
        <v>0</v>
      </c>
      <c r="D5" s="39" t="n">
        <f aca="false">COUNTIFS(Screenings!E:E,"&gt;="&amp;As_Of_Date-14,Screenings!E:E,"&lt;"&amp;As_Of_Date-7)</f>
        <v>2</v>
      </c>
      <c r="E5" s="40" t="n">
        <f aca="false">IFERROR((C5-D5)/D5,0)</f>
        <v>-1</v>
      </c>
      <c r="F5" s="39" t="n">
        <f aca="false">COUNTIFS(Screenings!E:E,"&gt;="&amp;As_Of_Date-30,Screenings!E:E,"&lt;="&amp;As_Of_Date-0)</f>
        <v>2</v>
      </c>
      <c r="G5" s="39" t="n">
        <f aca="false">COUNTIFS(Screenings!E:E,"&gt;="&amp;As_Of_Date-60,Screenings!E:E,"&lt;"&amp;As_Of_Date-30)</f>
        <v>12</v>
      </c>
      <c r="H5" s="40" t="n">
        <f aca="false">IFERROR((F5-G5)/G5,0)</f>
        <v>-0.833333333333333</v>
      </c>
      <c r="I5" s="39" t="n">
        <f aca="false">Targets!D34</f>
        <v>26</v>
      </c>
      <c r="J5" s="40" t="n">
        <f aca="false">IFERROR((F5-I5)/I5,0)</f>
        <v>-0.923076923076923</v>
      </c>
      <c r="K5" s="39" t="n">
        <f aca="false">COUNTIFS(Screenings!E:E,"&gt;="&amp;As_Of_Date-91,Screenings!E:E,"&lt;="&amp;As_Of_Date-0)</f>
        <v>32</v>
      </c>
      <c r="L5" s="39" t="n">
        <f aca="false">COUNTIFS(Screenings!E:E,"&gt;="&amp;As_Of_Date-182,Screenings!E:E,"&lt;"&amp;As_Of_Date-91)</f>
        <v>29</v>
      </c>
      <c r="M5" s="40" t="n">
        <f aca="false">IFERROR((K5-L5)/L5,0)</f>
        <v>0.103448275862069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28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0</v>
      </c>
      <c r="E6" s="40" t="n">
        <f aca="false">IFERROR((C6-D6)/D6,0)</f>
        <v>0</v>
      </c>
      <c r="F6" s="39" t="n">
        <f aca="false">COUNTIFS(NDAs!D:D,"&gt;="&amp;As_Of_Date-30,NDAs!D:D,"&lt;="&amp;As_Of_Date-0)</f>
        <v>2</v>
      </c>
      <c r="G6" s="39" t="n">
        <f aca="false">COUNTIFS(NDAs!D:D,"&gt;="&amp;As_Of_Date-60,NDAs!D:D,"&lt;"&amp;As_Of_Date-30)</f>
        <v>0</v>
      </c>
      <c r="H6" s="40" t="n">
        <f aca="false">IFERROR((F6-G6)/G6,0)</f>
        <v>0</v>
      </c>
      <c r="I6" s="39" t="n">
        <f aca="false">Targets!D35</f>
        <v>9</v>
      </c>
      <c r="J6" s="40" t="n">
        <f aca="false">IFERROR((F6-I6)/I6,0)</f>
        <v>-0.777777777777778</v>
      </c>
      <c r="K6" s="39" t="n">
        <f aca="false">COUNTIFS(NDAs!D:D,"&gt;="&amp;As_Of_Date-91,NDAs!D:D,"&lt;="&amp;As_Of_Date-0)</f>
        <v>15</v>
      </c>
      <c r="L6" s="39" t="n">
        <f aca="false">COUNTIFS(NDAs!D:D,"&gt;="&amp;As_Of_Date-182,NDAs!D:D,"&lt;"&amp;As_Of_Date-91)</f>
        <v>7</v>
      </c>
      <c r="M6" s="40" t="n">
        <f aca="false">IFERROR((K6-L6)/L6,0)</f>
        <v>1.14285714285714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29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0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-1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30</v>
      </c>
      <c r="C8" s="39" t="n">
        <f aca="false">COUNTIFS(Meetings!A:A,"&gt;="&amp;As_Of_Date-7,Meetings!A:A,"&lt;="&amp;As_Of_Date-0)</f>
        <v>0</v>
      </c>
      <c r="D8" s="39" t="n">
        <f aca="false">COUNTIFS(Meetings!A:A,"&gt;="&amp;As_Of_Date-14,Meetings!A:A,"&lt;"&amp;As_Of_Date-7)</f>
        <v>0</v>
      </c>
      <c r="E8" s="40" t="n">
        <f aca="false">IFERROR((C8-D8)/D8,0)</f>
        <v>0</v>
      </c>
      <c r="F8" s="39" t="n">
        <f aca="false">COUNTIFS(Meetings!A:A,"&gt;="&amp;As_Of_Date-30,Meetings!A:A,"&lt;="&amp;As_Of_Date-0)</f>
        <v>0</v>
      </c>
      <c r="G8" s="39" t="n">
        <f aca="false">COUNTIFS(Meetings!A:A,"&gt;="&amp;As_Of_Date-60,Meetings!A:A,"&lt;"&amp;As_Of_Date-30)</f>
        <v>9</v>
      </c>
      <c r="H8" s="40" t="n">
        <f aca="false">IFERROR((F8-G8)/G8,0)</f>
        <v>-1</v>
      </c>
      <c r="I8" s="39" t="n">
        <f aca="false">Targets!D37</f>
        <v>9</v>
      </c>
      <c r="J8" s="40" t="n">
        <f aca="false">IFERROR((F8-I8)/I8,0)</f>
        <v>-1</v>
      </c>
      <c r="K8" s="39" t="n">
        <f aca="false">COUNTIFS(Meetings!A:A,"&gt;="&amp;As_Of_Date-91,Meetings!A:A,"&lt;="&amp;As_Of_Date-0)</f>
        <v>38</v>
      </c>
      <c r="L8" s="39" t="n">
        <f aca="false">COUNTIFS(Meetings!A:A,"&gt;="&amp;As_Of_Date-182,Meetings!A:A,"&lt;"&amp;As_Of_Date-91)</f>
        <v>18</v>
      </c>
      <c r="M8" s="40" t="n">
        <f aca="false">IFERROR((K8-L8)/L8,0)</f>
        <v>1.11111111111111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31</v>
      </c>
      <c r="C9" s="39" t="n">
        <f aca="false">COUNTIFS(Pipeline!G:G,"&gt;="&amp;As_Of_Date-7,Pipeline!G:G,"&lt;="&amp;As_Of_Date-0)</f>
        <v>4</v>
      </c>
      <c r="D9" s="39" t="n">
        <f aca="false">COUNTIFS(Pipeline!G:G,"&gt;="&amp;As_Of_Date-14,Pipeline!G:G,"&lt;"&amp;As_Of_Date-7)</f>
        <v>4</v>
      </c>
      <c r="E9" s="40" t="n">
        <f aca="false">IFERROR((C9-D9)/D9,0)</f>
        <v>0</v>
      </c>
      <c r="F9" s="39" t="n">
        <f aca="false">COUNTIFS(Pipeline!G:G,"&gt;="&amp;As_Of_Date-30,Pipeline!G:G,"&lt;="&amp;As_Of_Date-0)</f>
        <v>9</v>
      </c>
      <c r="G9" s="39" t="n">
        <f aca="false">COUNTIFS(Pipeline!G:G,"&gt;="&amp;As_Of_Date-60,Pipeline!G:G,"&lt;"&amp;As_Of_Date-30)</f>
        <v>3</v>
      </c>
      <c r="H9" s="40" t="n">
        <f aca="false">IFERROR((F9-G9)/G9,0)</f>
        <v>2</v>
      </c>
      <c r="I9" s="39" t="n">
        <f aca="false">Targets!D38</f>
        <v>4</v>
      </c>
      <c r="J9" s="40" t="n">
        <f aca="false">IFERROR((F9-I9)/I9,0)</f>
        <v>1.25</v>
      </c>
      <c r="K9" s="39" t="n">
        <f aca="false">COUNTIFS(Pipeline!G:G,"&gt;="&amp;As_Of_Date-91,Pipeline!G:G,"&lt;="&amp;As_Of_Date-0)</f>
        <v>13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106</v>
      </c>
    </row>
    <row r="13" customFormat="false" ht="15" hidden="false" customHeight="true" outlineLevel="0" collapsed="false">
      <c r="A13" s="38" t="n">
        <v>1</v>
      </c>
      <c r="B13" s="14" t="s">
        <v>107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0</v>
      </c>
      <c r="E13" s="40" t="n">
        <f aca="false">IFERROR((C13-D13)/D13,0)</f>
        <v>0</v>
      </c>
      <c r="F13" s="41" t="n">
        <f aca="false">SUMIFS(Revenue_Ledger!E:E,Revenue_Ledger!A:A,"&gt;="&amp;As_Of_Date-30,Revenue_Ledger!A:A,"&lt;="&amp;As_Of_Date-0)</f>
        <v>13700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0</v>
      </c>
      <c r="I13" s="41" t="n">
        <f aca="false">Targets!C5/12</f>
        <v>41666.6666666667</v>
      </c>
      <c r="J13" s="40" t="n">
        <f aca="false">IFERROR((F13-I13)/I13,0)</f>
        <v>-0.6712</v>
      </c>
      <c r="K13" s="41" t="n">
        <f aca="false">SUMIFS(Revenue_Ledger!E:E,Revenue_Ledger!A:A,"&gt;="&amp;As_Of_Date-91,Revenue_Ledger!A:A,"&lt;="&amp;As_Of_Date-0)</f>
        <v>29900</v>
      </c>
      <c r="L13" s="41" t="n">
        <f aca="false">SUMIFS(Revenue_Ledger!E:E,Revenue_Ledger!A:A,"&gt;="&amp;DATE(YEAR(As_Of_Date),1,1),Revenue_Ledger!A:A,"&lt;="&amp;As_Of_Date)</f>
        <v>37400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2.98666666666667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108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18719.25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109</v>
      </c>
      <c r="C15" s="41" t="n">
        <f aca="false">C13-C14</f>
        <v>0</v>
      </c>
      <c r="D15" s="41" t="n">
        <f aca="false">D13-D14</f>
        <v>0</v>
      </c>
      <c r="E15" s="40" t="n">
        <f aca="false">IFERROR((C15-D15)/D15,0)</f>
        <v>0</v>
      </c>
      <c r="F15" s="41" t="n">
        <f aca="false">F13-F14</f>
        <v>13700</v>
      </c>
      <c r="G15" s="41" t="n">
        <f aca="false">G13-G14</f>
        <v>13700</v>
      </c>
      <c r="H15" s="40" t="n">
        <f aca="false">IFERROR((F15-G15)/G15,0)</f>
        <v>0</v>
      </c>
      <c r="I15" s="41" t="n">
        <f aca="false">I13-I14</f>
        <v>22947.4166666667</v>
      </c>
      <c r="J15" s="40" t="n">
        <f aca="false">IFERROR((F15-I15)/IF(I15=0,1,ABS(I15)),0)</f>
        <v>-0.402982906572635</v>
      </c>
      <c r="K15" s="41" t="n">
        <f aca="false">K13-K14</f>
        <v>29900</v>
      </c>
      <c r="L15" s="41" t="n">
        <f aca="false">L13-L14</f>
        <v>37400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2.98666666666667</v>
      </c>
      <c r="N15" s="40" t="n">
        <v>0</v>
      </c>
    </row>
    <row r="18" customFormat="false" ht="15" hidden="false" customHeight="true" outlineLevel="0" collapsed="false">
      <c r="B18" s="23" t="s">
        <v>110</v>
      </c>
    </row>
    <row r="19" customFormat="false" ht="15" hidden="false" customHeight="true" outlineLevel="0" collapsed="false">
      <c r="B19" s="6" t="s">
        <v>111</v>
      </c>
    </row>
    <row r="20" customFormat="false" ht="15" hidden="false" customHeight="true" outlineLevel="0" collapsed="false">
      <c r="B20" s="6" t="s">
        <v>112</v>
      </c>
    </row>
    <row r="21" customFormat="false" ht="15" hidden="false" customHeight="true" outlineLevel="0" collapsed="false">
      <c r="B21" s="6" t="s">
        <v>113</v>
      </c>
    </row>
    <row r="22" customFormat="false" ht="15" hidden="false" customHeight="true" outlineLevel="0" collapsed="false">
      <c r="B22" s="6" t="s">
        <v>114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117</v>
      </c>
      <c r="B4" s="13" t="s">
        <v>118</v>
      </c>
      <c r="C4" s="13" t="s">
        <v>119</v>
      </c>
      <c r="D4" s="13" t="s">
        <v>120</v>
      </c>
      <c r="E4" s="13" t="s">
        <v>121</v>
      </c>
      <c r="F4" s="13" t="s">
        <v>122</v>
      </c>
      <c r="G4" s="13" t="s">
        <v>123</v>
      </c>
      <c r="H4" s="13" t="s">
        <v>89</v>
      </c>
    </row>
    <row r="5" customFormat="false" ht="15" hidden="false" customHeight="true" outlineLevel="0" collapsed="false">
      <c r="A5" s="42" t="n">
        <v>46053</v>
      </c>
      <c r="B5" s="43" t="s">
        <v>124</v>
      </c>
      <c r="C5" s="43" t="s">
        <v>125</v>
      </c>
      <c r="D5" s="43" t="s">
        <v>126</v>
      </c>
      <c r="E5" s="44" t="n">
        <v>2500</v>
      </c>
      <c r="F5" s="44" t="n">
        <v>2500</v>
      </c>
      <c r="G5" s="42" t="n">
        <v>46083</v>
      </c>
      <c r="H5" s="43" t="s">
        <v>127</v>
      </c>
    </row>
    <row r="6" customFormat="false" ht="15" hidden="false" customHeight="true" outlineLevel="0" collapsed="false">
      <c r="A6" s="42" t="n">
        <v>46081</v>
      </c>
      <c r="B6" s="43" t="s">
        <v>124</v>
      </c>
      <c r="C6" s="43" t="s">
        <v>125</v>
      </c>
      <c r="D6" s="43" t="s">
        <v>128</v>
      </c>
      <c r="E6" s="44" t="n">
        <v>2500</v>
      </c>
      <c r="F6" s="44" t="n">
        <v>2500</v>
      </c>
      <c r="G6" s="42" t="n">
        <v>46111</v>
      </c>
      <c r="H6" s="43" t="s">
        <v>129</v>
      </c>
    </row>
    <row r="7" customFormat="false" ht="15" hidden="false" customHeight="true" outlineLevel="0" collapsed="false">
      <c r="A7" s="42" t="n">
        <v>46112</v>
      </c>
      <c r="B7" s="43" t="s">
        <v>124</v>
      </c>
      <c r="C7" s="43" t="s">
        <v>125</v>
      </c>
      <c r="D7" s="43" t="s">
        <v>130</v>
      </c>
      <c r="E7" s="44" t="n">
        <v>2500</v>
      </c>
      <c r="F7" s="44" t="n">
        <v>2500</v>
      </c>
      <c r="G7" s="42" t="n">
        <v>46142</v>
      </c>
      <c r="H7" s="43" t="s">
        <v>131</v>
      </c>
    </row>
    <row r="8" customFormat="false" ht="15" hidden="false" customHeight="true" outlineLevel="0" collapsed="false">
      <c r="A8" s="42" t="n">
        <v>46142</v>
      </c>
      <c r="B8" s="43" t="s">
        <v>124</v>
      </c>
      <c r="C8" s="43" t="s">
        <v>125</v>
      </c>
      <c r="D8" s="43" t="s">
        <v>132</v>
      </c>
      <c r="E8" s="44" t="n">
        <v>2500</v>
      </c>
      <c r="F8" s="44" t="n">
        <v>2500</v>
      </c>
      <c r="G8" s="42" t="n">
        <v>46171</v>
      </c>
      <c r="H8" s="43" t="s">
        <v>133</v>
      </c>
    </row>
    <row r="9" customFormat="false" ht="15" hidden="false" customHeight="true" outlineLevel="0" collapsed="false">
      <c r="A9" s="42" t="n">
        <v>46173</v>
      </c>
      <c r="B9" s="43" t="s">
        <v>134</v>
      </c>
      <c r="C9" s="43" t="s">
        <v>135</v>
      </c>
      <c r="D9" s="43" t="s">
        <v>136</v>
      </c>
      <c r="E9" s="44" t="n">
        <v>11200</v>
      </c>
      <c r="F9" s="43" t="n">
        <v>11200</v>
      </c>
      <c r="G9" s="42" t="n">
        <v>46202</v>
      </c>
      <c r="H9" s="43" t="s">
        <v>137</v>
      </c>
    </row>
    <row r="10" customFormat="false" ht="15" hidden="false" customHeight="true" outlineLevel="0" collapsed="false">
      <c r="A10" s="42" t="n">
        <v>46173</v>
      </c>
      <c r="B10" s="43" t="s">
        <v>124</v>
      </c>
      <c r="C10" s="43" t="s">
        <v>125</v>
      </c>
      <c r="D10" s="43" t="s">
        <v>138</v>
      </c>
      <c r="E10" s="44" t="n">
        <v>2500</v>
      </c>
      <c r="F10" s="43" t="n">
        <v>2500</v>
      </c>
      <c r="G10" s="42" t="n">
        <v>46202</v>
      </c>
      <c r="H10" s="43" t="s">
        <v>137</v>
      </c>
    </row>
    <row r="11" customFormat="false" ht="15" hidden="false" customHeight="true" outlineLevel="0" collapsed="false">
      <c r="A11" s="42" t="n">
        <v>46203</v>
      </c>
      <c r="B11" s="43" t="s">
        <v>134</v>
      </c>
      <c r="C11" s="43" t="s">
        <v>135</v>
      </c>
      <c r="D11" s="43" t="s">
        <v>139</v>
      </c>
      <c r="E11" s="44" t="n">
        <v>11200</v>
      </c>
      <c r="F11" s="44" t="n">
        <v>11200</v>
      </c>
      <c r="G11" s="42" t="n">
        <v>46232</v>
      </c>
      <c r="H11" s="43" t="s">
        <v>140</v>
      </c>
    </row>
    <row r="12" customFormat="false" ht="15" hidden="false" customHeight="true" outlineLevel="0" collapsed="false">
      <c r="A12" s="42" t="n">
        <v>46203</v>
      </c>
      <c r="B12" s="43" t="s">
        <v>124</v>
      </c>
      <c r="C12" s="43" t="s">
        <v>125</v>
      </c>
      <c r="D12" s="43" t="s">
        <v>141</v>
      </c>
      <c r="E12" s="44" t="n">
        <v>2500</v>
      </c>
      <c r="F12" s="44" t="n">
        <v>2500</v>
      </c>
      <c r="G12" s="42" t="n">
        <v>46232</v>
      </c>
      <c r="H12" s="43" t="s">
        <v>140</v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44"/>
      <c r="G13" s="42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4"/>
      <c r="F14" s="44"/>
      <c r="G14" s="42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142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143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144</v>
      </c>
      <c r="B4" s="13" t="s">
        <v>145</v>
      </c>
      <c r="C4" s="13" t="s">
        <v>146</v>
      </c>
      <c r="D4" s="13" t="s">
        <v>147</v>
      </c>
      <c r="E4" s="13" t="s">
        <v>148</v>
      </c>
      <c r="F4" s="13" t="s">
        <v>89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150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144</v>
      </c>
      <c r="B4" s="13" t="s">
        <v>151</v>
      </c>
      <c r="C4" s="13" t="s">
        <v>152</v>
      </c>
      <c r="D4" s="13" t="s">
        <v>153</v>
      </c>
      <c r="E4" s="13" t="s">
        <v>154</v>
      </c>
      <c r="F4" s="13" t="s">
        <v>155</v>
      </c>
      <c r="G4" s="13" t="s">
        <v>156</v>
      </c>
    </row>
    <row r="5" customFormat="false" ht="34.5" hidden="false" customHeight="true" outlineLevel="0" collapsed="false">
      <c r="A5" s="45" t="n">
        <v>46043</v>
      </c>
      <c r="B5" s="46" t="s">
        <v>157</v>
      </c>
      <c r="C5" s="46" t="s">
        <v>158</v>
      </c>
      <c r="D5" s="46" t="s">
        <v>159</v>
      </c>
      <c r="E5" s="46" t="s">
        <v>160</v>
      </c>
      <c r="F5" s="46" t="s">
        <v>161</v>
      </c>
      <c r="G5" s="46" t="s">
        <v>162</v>
      </c>
    </row>
    <row r="6" customFormat="false" ht="34.5" hidden="false" customHeight="true" outlineLevel="0" collapsed="false">
      <c r="A6" s="45" t="n">
        <v>46050</v>
      </c>
      <c r="B6" s="46" t="s">
        <v>157</v>
      </c>
      <c r="C6" s="46" t="s">
        <v>158</v>
      </c>
      <c r="D6" s="46" t="s">
        <v>159</v>
      </c>
      <c r="E6" s="46" t="s">
        <v>160</v>
      </c>
      <c r="F6" s="46" t="s">
        <v>161</v>
      </c>
      <c r="G6" s="46" t="s">
        <v>162</v>
      </c>
    </row>
    <row r="7" customFormat="false" ht="34.5" hidden="false" customHeight="true" outlineLevel="0" collapsed="false">
      <c r="A7" s="45" t="n">
        <v>46057</v>
      </c>
      <c r="B7" s="46" t="s">
        <v>157</v>
      </c>
      <c r="C7" s="46" t="s">
        <v>158</v>
      </c>
      <c r="D7" s="46" t="s">
        <v>159</v>
      </c>
      <c r="E7" s="46" t="s">
        <v>160</v>
      </c>
      <c r="F7" s="46" t="s">
        <v>161</v>
      </c>
      <c r="G7" s="46" t="s">
        <v>162</v>
      </c>
    </row>
    <row r="8" customFormat="false" ht="34.5" hidden="false" customHeight="true" outlineLevel="0" collapsed="false">
      <c r="A8" s="45" t="n">
        <v>46064</v>
      </c>
      <c r="B8" s="46" t="s">
        <v>157</v>
      </c>
      <c r="C8" s="46" t="s">
        <v>158</v>
      </c>
      <c r="D8" s="46" t="s">
        <v>159</v>
      </c>
      <c r="E8" s="46" t="s">
        <v>160</v>
      </c>
      <c r="F8" s="46" t="s">
        <v>161</v>
      </c>
      <c r="G8" s="46" t="s">
        <v>162</v>
      </c>
    </row>
    <row r="9" customFormat="false" ht="34.5" hidden="false" customHeight="true" outlineLevel="0" collapsed="false">
      <c r="A9" s="45" t="n">
        <v>46071</v>
      </c>
      <c r="B9" s="46" t="s">
        <v>157</v>
      </c>
      <c r="C9" s="46" t="s">
        <v>158</v>
      </c>
      <c r="D9" s="46" t="s">
        <v>159</v>
      </c>
      <c r="E9" s="46" t="s">
        <v>160</v>
      </c>
      <c r="F9" s="46" t="s">
        <v>161</v>
      </c>
      <c r="G9" s="46" t="s">
        <v>162</v>
      </c>
    </row>
    <row r="10" customFormat="false" ht="34.5" hidden="false" customHeight="true" outlineLevel="0" collapsed="false">
      <c r="A10" s="45" t="n">
        <v>46078</v>
      </c>
      <c r="B10" s="46" t="s">
        <v>157</v>
      </c>
      <c r="C10" s="46" t="s">
        <v>158</v>
      </c>
      <c r="D10" s="46" t="s">
        <v>159</v>
      </c>
      <c r="E10" s="46" t="s">
        <v>160</v>
      </c>
      <c r="F10" s="46" t="s">
        <v>161</v>
      </c>
      <c r="G10" s="46" t="s">
        <v>162</v>
      </c>
    </row>
    <row r="11" customFormat="false" ht="34.5" hidden="false" customHeight="true" outlineLevel="0" collapsed="false">
      <c r="A11" s="45" t="n">
        <v>46085</v>
      </c>
      <c r="B11" s="46" t="s">
        <v>157</v>
      </c>
      <c r="C11" s="46" t="s">
        <v>158</v>
      </c>
      <c r="D11" s="46" t="s">
        <v>159</v>
      </c>
      <c r="E11" s="46" t="s">
        <v>160</v>
      </c>
      <c r="F11" s="46" t="s">
        <v>161</v>
      </c>
      <c r="G11" s="46" t="s">
        <v>162</v>
      </c>
    </row>
    <row r="12" customFormat="false" ht="34.5" hidden="false" customHeight="true" outlineLevel="0" collapsed="false">
      <c r="A12" s="45" t="n">
        <v>46092</v>
      </c>
      <c r="B12" s="46" t="s">
        <v>157</v>
      </c>
      <c r="C12" s="46" t="s">
        <v>158</v>
      </c>
      <c r="D12" s="46" t="s">
        <v>159</v>
      </c>
      <c r="E12" s="46" t="s">
        <v>160</v>
      </c>
      <c r="F12" s="46" t="s">
        <v>161</v>
      </c>
      <c r="G12" s="46" t="s">
        <v>162</v>
      </c>
    </row>
    <row r="13" customFormat="false" ht="34.5" hidden="false" customHeight="true" outlineLevel="0" collapsed="false">
      <c r="A13" s="45" t="n">
        <v>46099</v>
      </c>
      <c r="B13" s="46" t="s">
        <v>157</v>
      </c>
      <c r="C13" s="46" t="s">
        <v>158</v>
      </c>
      <c r="D13" s="46" t="s">
        <v>159</v>
      </c>
      <c r="E13" s="46" t="s">
        <v>160</v>
      </c>
      <c r="F13" s="46" t="s">
        <v>161</v>
      </c>
      <c r="G13" s="46" t="s">
        <v>162</v>
      </c>
    </row>
    <row r="14" customFormat="false" ht="34.5" hidden="false" customHeight="true" outlineLevel="0" collapsed="false">
      <c r="A14" s="45" t="n">
        <v>46106</v>
      </c>
      <c r="B14" s="46" t="s">
        <v>157</v>
      </c>
      <c r="C14" s="46" t="s">
        <v>158</v>
      </c>
      <c r="D14" s="46" t="s">
        <v>159</v>
      </c>
      <c r="E14" s="46" t="s">
        <v>160</v>
      </c>
      <c r="F14" s="46" t="s">
        <v>161</v>
      </c>
      <c r="G14" s="46" t="s">
        <v>162</v>
      </c>
    </row>
    <row r="15" customFormat="false" ht="34.5" hidden="false" customHeight="true" outlineLevel="0" collapsed="false">
      <c r="A15" s="45" t="n">
        <v>46113</v>
      </c>
      <c r="B15" s="46" t="s">
        <v>157</v>
      </c>
      <c r="C15" s="46" t="s">
        <v>158</v>
      </c>
      <c r="D15" s="46" t="s">
        <v>159</v>
      </c>
      <c r="E15" s="46" t="s">
        <v>160</v>
      </c>
      <c r="F15" s="46" t="s">
        <v>161</v>
      </c>
      <c r="G15" s="46" t="s">
        <v>162</v>
      </c>
    </row>
    <row r="16" customFormat="false" ht="34.5" hidden="false" customHeight="true" outlineLevel="0" collapsed="false">
      <c r="A16" s="45" t="n">
        <v>46120</v>
      </c>
      <c r="B16" s="46" t="s">
        <v>157</v>
      </c>
      <c r="C16" s="46" t="s">
        <v>158</v>
      </c>
      <c r="D16" s="46" t="s">
        <v>159</v>
      </c>
      <c r="E16" s="46" t="s">
        <v>160</v>
      </c>
      <c r="F16" s="46" t="s">
        <v>161</v>
      </c>
      <c r="G16" s="46" t="s">
        <v>162</v>
      </c>
    </row>
    <row r="17" customFormat="false" ht="34.5" hidden="false" customHeight="true" outlineLevel="0" collapsed="false">
      <c r="A17" s="45" t="n">
        <v>46127</v>
      </c>
      <c r="B17" s="46" t="s">
        <v>157</v>
      </c>
      <c r="C17" s="46" t="s">
        <v>158</v>
      </c>
      <c r="D17" s="46" t="s">
        <v>159</v>
      </c>
      <c r="E17" s="46" t="s">
        <v>160</v>
      </c>
      <c r="F17" s="46" t="s">
        <v>161</v>
      </c>
      <c r="G17" s="46" t="s">
        <v>162</v>
      </c>
    </row>
    <row r="18" customFormat="false" ht="23.25" hidden="false" customHeight="true" outlineLevel="0" collapsed="false">
      <c r="A18" s="45" t="n">
        <v>46129</v>
      </c>
      <c r="B18" s="46" t="s">
        <v>163</v>
      </c>
      <c r="C18" s="46" t="s">
        <v>164</v>
      </c>
      <c r="D18" s="46" t="s">
        <v>165</v>
      </c>
      <c r="E18" s="46" t="s">
        <v>166</v>
      </c>
      <c r="F18" s="46" t="s">
        <v>167</v>
      </c>
      <c r="G18" s="46" t="s">
        <v>162</v>
      </c>
    </row>
    <row r="19" customFormat="false" ht="34.5" hidden="false" customHeight="true" outlineLevel="0" collapsed="false">
      <c r="A19" s="45" t="n">
        <v>46131</v>
      </c>
      <c r="B19" s="46" t="s">
        <v>168</v>
      </c>
      <c r="C19" s="46" t="s">
        <v>169</v>
      </c>
      <c r="D19" s="46" t="s">
        <v>170</v>
      </c>
      <c r="E19" s="46" t="s">
        <v>171</v>
      </c>
      <c r="F19" s="46" t="s">
        <v>172</v>
      </c>
      <c r="G19" s="46" t="s">
        <v>162</v>
      </c>
    </row>
    <row r="20" customFormat="false" ht="23.25" hidden="false" customHeight="true" outlineLevel="0" collapsed="false">
      <c r="A20" s="45" t="n">
        <v>46131</v>
      </c>
      <c r="B20" s="46" t="s">
        <v>173</v>
      </c>
      <c r="C20" s="46" t="s">
        <v>164</v>
      </c>
      <c r="D20" s="46" t="s">
        <v>165</v>
      </c>
      <c r="E20" s="46" t="s">
        <v>174</v>
      </c>
      <c r="F20" s="46" t="s">
        <v>175</v>
      </c>
      <c r="G20" s="46" t="s">
        <v>162</v>
      </c>
    </row>
    <row r="21" customFormat="false" ht="23.25" hidden="false" customHeight="true" outlineLevel="0" collapsed="false">
      <c r="A21" s="45" t="n">
        <v>46132</v>
      </c>
      <c r="B21" s="46" t="s">
        <v>176</v>
      </c>
      <c r="C21" s="46" t="s">
        <v>164</v>
      </c>
      <c r="D21" s="46" t="s">
        <v>165</v>
      </c>
      <c r="E21" s="46" t="s">
        <v>177</v>
      </c>
      <c r="F21" s="46" t="s">
        <v>178</v>
      </c>
      <c r="G21" s="46" t="s">
        <v>162</v>
      </c>
    </row>
    <row r="22" customFormat="false" ht="15" hidden="false" customHeight="true" outlineLevel="0" collapsed="false">
      <c r="A22" s="45" t="n">
        <v>46132</v>
      </c>
      <c r="B22" s="46" t="s">
        <v>179</v>
      </c>
      <c r="C22" s="46" t="s">
        <v>164</v>
      </c>
      <c r="D22" s="46" t="s">
        <v>180</v>
      </c>
      <c r="E22" s="46" t="s">
        <v>181</v>
      </c>
      <c r="F22" s="46" t="s">
        <v>182</v>
      </c>
      <c r="G22" s="46" t="s">
        <v>162</v>
      </c>
    </row>
    <row r="23" customFormat="false" ht="34.5" hidden="false" customHeight="true" outlineLevel="0" collapsed="false">
      <c r="A23" s="45" t="n">
        <v>46134</v>
      </c>
      <c r="B23" s="46" t="s">
        <v>157</v>
      </c>
      <c r="C23" s="46" t="s">
        <v>158</v>
      </c>
      <c r="D23" s="46" t="s">
        <v>159</v>
      </c>
      <c r="E23" s="46" t="s">
        <v>160</v>
      </c>
      <c r="F23" s="46" t="s">
        <v>161</v>
      </c>
      <c r="G23" s="46" t="s">
        <v>162</v>
      </c>
    </row>
    <row r="24" customFormat="false" ht="34.5" hidden="false" customHeight="true" outlineLevel="0" collapsed="false">
      <c r="A24" s="45" t="n">
        <v>46135</v>
      </c>
      <c r="B24" s="46" t="s">
        <v>183</v>
      </c>
      <c r="C24" s="46" t="s">
        <v>164</v>
      </c>
      <c r="D24" s="46" t="s">
        <v>170</v>
      </c>
      <c r="E24" s="46" t="s">
        <v>184</v>
      </c>
      <c r="F24" s="46" t="s">
        <v>185</v>
      </c>
      <c r="G24" s="46" t="s">
        <v>162</v>
      </c>
    </row>
    <row r="25" customFormat="false" ht="15" hidden="false" customHeight="true" outlineLevel="0" collapsed="false">
      <c r="A25" s="45" t="n">
        <v>46135</v>
      </c>
      <c r="B25" s="46" t="s">
        <v>186</v>
      </c>
      <c r="C25" s="46" t="s">
        <v>164</v>
      </c>
      <c r="D25" s="46" t="s">
        <v>165</v>
      </c>
      <c r="E25" s="46" t="s">
        <v>187</v>
      </c>
      <c r="F25" s="46" t="s">
        <v>178</v>
      </c>
      <c r="G25" s="46" t="s">
        <v>162</v>
      </c>
    </row>
    <row r="26" customFormat="false" ht="23.25" hidden="false" customHeight="true" outlineLevel="0" collapsed="false">
      <c r="A26" s="45" t="n">
        <v>46135</v>
      </c>
      <c r="B26" s="46" t="s">
        <v>188</v>
      </c>
      <c r="C26" s="46" t="s">
        <v>164</v>
      </c>
      <c r="D26" s="46" t="s">
        <v>165</v>
      </c>
      <c r="E26" s="46" t="s">
        <v>189</v>
      </c>
      <c r="F26" s="46" t="s">
        <v>190</v>
      </c>
      <c r="G26" s="46" t="s">
        <v>162</v>
      </c>
    </row>
    <row r="27" customFormat="false" ht="23.25" hidden="false" customHeight="true" outlineLevel="0" collapsed="false">
      <c r="A27" s="45" t="n">
        <v>46138</v>
      </c>
      <c r="B27" s="46" t="s">
        <v>191</v>
      </c>
      <c r="C27" s="46" t="s">
        <v>164</v>
      </c>
      <c r="D27" s="46" t="s">
        <v>165</v>
      </c>
      <c r="E27" s="46" t="s">
        <v>192</v>
      </c>
      <c r="F27" s="46" t="s">
        <v>193</v>
      </c>
      <c r="G27" s="46" t="s">
        <v>162</v>
      </c>
    </row>
    <row r="28" customFormat="false" ht="34.5" hidden="false" customHeight="true" outlineLevel="0" collapsed="false">
      <c r="A28" s="45" t="n">
        <v>46139</v>
      </c>
      <c r="B28" s="46" t="s">
        <v>194</v>
      </c>
      <c r="C28" s="46" t="s">
        <v>164</v>
      </c>
      <c r="D28" s="46" t="s">
        <v>170</v>
      </c>
      <c r="E28" s="46" t="s">
        <v>195</v>
      </c>
      <c r="F28" s="46" t="s">
        <v>178</v>
      </c>
      <c r="G28" s="46" t="s">
        <v>162</v>
      </c>
    </row>
    <row r="29" customFormat="false" ht="15" hidden="false" customHeight="true" outlineLevel="0" collapsed="false">
      <c r="A29" s="45" t="n">
        <v>46139</v>
      </c>
      <c r="B29" s="46" t="s">
        <v>196</v>
      </c>
      <c r="C29" s="46" t="s">
        <v>164</v>
      </c>
      <c r="D29" s="46" t="s">
        <v>165</v>
      </c>
      <c r="E29" s="46" t="s">
        <v>197</v>
      </c>
      <c r="F29" s="46" t="s">
        <v>178</v>
      </c>
      <c r="G29" s="46" t="s">
        <v>162</v>
      </c>
    </row>
    <row r="30" customFormat="false" ht="15" hidden="false" customHeight="true" outlineLevel="0" collapsed="false">
      <c r="A30" s="45" t="n">
        <v>46139</v>
      </c>
      <c r="B30" s="46" t="s">
        <v>198</v>
      </c>
      <c r="C30" s="46" t="s">
        <v>164</v>
      </c>
      <c r="D30" s="46" t="s">
        <v>165</v>
      </c>
      <c r="E30" s="46" t="s">
        <v>199</v>
      </c>
      <c r="F30" s="46" t="s">
        <v>200</v>
      </c>
      <c r="G30" s="46" t="s">
        <v>162</v>
      </c>
    </row>
    <row r="31" customFormat="false" ht="23.25" hidden="false" customHeight="true" outlineLevel="0" collapsed="false">
      <c r="A31" s="45" t="n">
        <v>46140</v>
      </c>
      <c r="B31" s="46" t="s">
        <v>201</v>
      </c>
      <c r="C31" s="46" t="s">
        <v>164</v>
      </c>
      <c r="D31" s="46" t="s">
        <v>170</v>
      </c>
      <c r="E31" s="46" t="s">
        <v>202</v>
      </c>
      <c r="F31" s="46" t="s">
        <v>203</v>
      </c>
      <c r="G31" s="46" t="s">
        <v>162</v>
      </c>
    </row>
    <row r="32" customFormat="false" ht="15" hidden="false" customHeight="true" outlineLevel="0" collapsed="false">
      <c r="A32" s="45" t="n">
        <v>46140</v>
      </c>
      <c r="B32" s="46" t="s">
        <v>204</v>
      </c>
      <c r="C32" s="46" t="s">
        <v>164</v>
      </c>
      <c r="D32" s="46" t="s">
        <v>165</v>
      </c>
      <c r="E32" s="46" t="s">
        <v>205</v>
      </c>
      <c r="F32" s="46" t="s">
        <v>206</v>
      </c>
      <c r="G32" s="46" t="s">
        <v>162</v>
      </c>
    </row>
    <row r="33" customFormat="false" ht="34.5" hidden="false" customHeight="true" outlineLevel="0" collapsed="false">
      <c r="A33" s="45" t="n">
        <v>46141</v>
      </c>
      <c r="B33" s="46" t="s">
        <v>157</v>
      </c>
      <c r="C33" s="46" t="s">
        <v>158</v>
      </c>
      <c r="D33" s="46" t="s">
        <v>159</v>
      </c>
      <c r="E33" s="46" t="s">
        <v>160</v>
      </c>
      <c r="F33" s="46" t="s">
        <v>161</v>
      </c>
      <c r="G33" s="46" t="s">
        <v>162</v>
      </c>
    </row>
    <row r="34" customFormat="false" ht="23.25" hidden="false" customHeight="true" outlineLevel="0" collapsed="false">
      <c r="A34" s="45" t="n">
        <v>46142</v>
      </c>
      <c r="B34" s="46" t="s">
        <v>207</v>
      </c>
      <c r="C34" s="46" t="s">
        <v>164</v>
      </c>
      <c r="D34" s="46" t="s">
        <v>170</v>
      </c>
      <c r="E34" s="46" t="s">
        <v>208</v>
      </c>
      <c r="F34" s="46" t="s">
        <v>209</v>
      </c>
      <c r="G34" s="46" t="s">
        <v>162</v>
      </c>
    </row>
    <row r="35" customFormat="false" ht="23.25" hidden="false" customHeight="true" outlineLevel="0" collapsed="false">
      <c r="A35" s="45" t="n">
        <v>46146</v>
      </c>
      <c r="B35" s="46" t="s">
        <v>210</v>
      </c>
      <c r="C35" s="46" t="s">
        <v>164</v>
      </c>
      <c r="D35" s="46" t="s">
        <v>165</v>
      </c>
      <c r="E35" s="46" t="s">
        <v>211</v>
      </c>
      <c r="F35" s="46" t="s">
        <v>178</v>
      </c>
      <c r="G35" s="46" t="s">
        <v>162</v>
      </c>
    </row>
    <row r="36" customFormat="false" ht="23.25" hidden="false" customHeight="true" outlineLevel="0" collapsed="false">
      <c r="A36" s="45" t="n">
        <v>46146</v>
      </c>
      <c r="B36" s="46" t="s">
        <v>212</v>
      </c>
      <c r="C36" s="46" t="s">
        <v>164</v>
      </c>
      <c r="D36" s="46" t="s">
        <v>165</v>
      </c>
      <c r="E36" s="46" t="s">
        <v>213</v>
      </c>
      <c r="F36" s="46" t="s">
        <v>214</v>
      </c>
      <c r="G36" s="46" t="s">
        <v>162</v>
      </c>
    </row>
    <row r="37" customFormat="false" ht="15" hidden="false" customHeight="true" outlineLevel="0" collapsed="false">
      <c r="A37" s="45" t="n">
        <v>46146</v>
      </c>
      <c r="B37" s="46" t="s">
        <v>215</v>
      </c>
      <c r="C37" s="46" t="s">
        <v>164</v>
      </c>
      <c r="D37" s="46" t="s">
        <v>165</v>
      </c>
      <c r="E37" s="46" t="s">
        <v>216</v>
      </c>
      <c r="F37" s="46" t="s">
        <v>217</v>
      </c>
      <c r="G37" s="46" t="s">
        <v>162</v>
      </c>
    </row>
    <row r="38" customFormat="false" ht="15" hidden="false" customHeight="true" outlineLevel="0" collapsed="false">
      <c r="A38" s="45" t="n">
        <v>46146</v>
      </c>
      <c r="B38" s="46" t="s">
        <v>218</v>
      </c>
      <c r="C38" s="46" t="s">
        <v>164</v>
      </c>
      <c r="D38" s="46" t="s">
        <v>165</v>
      </c>
      <c r="E38" s="46" t="s">
        <v>219</v>
      </c>
      <c r="F38" s="46" t="s">
        <v>220</v>
      </c>
      <c r="G38" s="46" t="s">
        <v>162</v>
      </c>
    </row>
    <row r="39" customFormat="false" ht="15" hidden="false" customHeight="true" outlineLevel="0" collapsed="false">
      <c r="A39" s="45" t="n">
        <v>46146</v>
      </c>
      <c r="B39" s="46" t="s">
        <v>221</v>
      </c>
      <c r="C39" s="46" t="s">
        <v>164</v>
      </c>
      <c r="D39" s="46" t="s">
        <v>165</v>
      </c>
      <c r="E39" s="46" t="s">
        <v>222</v>
      </c>
      <c r="F39" s="46" t="s">
        <v>220</v>
      </c>
      <c r="G39" s="46" t="s">
        <v>162</v>
      </c>
    </row>
    <row r="40" customFormat="false" ht="34.5" hidden="false" customHeight="true" outlineLevel="0" collapsed="false">
      <c r="A40" s="45" t="n">
        <v>46148</v>
      </c>
      <c r="B40" s="46" t="s">
        <v>157</v>
      </c>
      <c r="C40" s="46" t="s">
        <v>158</v>
      </c>
      <c r="D40" s="46" t="s">
        <v>159</v>
      </c>
      <c r="E40" s="46" t="s">
        <v>160</v>
      </c>
      <c r="F40" s="46" t="s">
        <v>161</v>
      </c>
      <c r="G40" s="46" t="s">
        <v>162</v>
      </c>
    </row>
    <row r="41" customFormat="false" ht="15" hidden="false" customHeight="true" outlineLevel="0" collapsed="false">
      <c r="A41" s="45" t="n">
        <v>46148</v>
      </c>
      <c r="B41" s="46" t="s">
        <v>183</v>
      </c>
      <c r="C41" s="46" t="s">
        <v>223</v>
      </c>
      <c r="D41" s="46" t="s">
        <v>159</v>
      </c>
      <c r="E41" s="46" t="s">
        <v>224</v>
      </c>
      <c r="F41" s="46" t="s">
        <v>225</v>
      </c>
      <c r="G41" s="46" t="s">
        <v>162</v>
      </c>
    </row>
    <row r="42" customFormat="false" ht="23.25" hidden="false" customHeight="true" outlineLevel="0" collapsed="false">
      <c r="A42" s="45" t="n">
        <v>46148</v>
      </c>
      <c r="B42" s="46" t="s">
        <v>194</v>
      </c>
      <c r="C42" s="46" t="s">
        <v>226</v>
      </c>
      <c r="D42" s="46" t="s">
        <v>159</v>
      </c>
      <c r="E42" s="46" t="s">
        <v>227</v>
      </c>
      <c r="F42" s="46" t="s">
        <v>228</v>
      </c>
      <c r="G42" s="46" t="s">
        <v>162</v>
      </c>
    </row>
    <row r="43" customFormat="false" ht="15" hidden="false" customHeight="true" outlineLevel="0" collapsed="false">
      <c r="A43" s="45" t="n">
        <v>46148</v>
      </c>
      <c r="B43" s="46" t="s">
        <v>229</v>
      </c>
      <c r="C43" s="46" t="s">
        <v>164</v>
      </c>
      <c r="D43" s="46" t="s">
        <v>159</v>
      </c>
      <c r="E43" s="46" t="s">
        <v>230</v>
      </c>
      <c r="F43" s="46" t="s">
        <v>231</v>
      </c>
      <c r="G43" s="46" t="s">
        <v>162</v>
      </c>
    </row>
    <row r="44" customFormat="false" ht="34.5" hidden="false" customHeight="true" outlineLevel="0" collapsed="false">
      <c r="A44" s="45" t="n">
        <v>46154</v>
      </c>
      <c r="B44" s="46" t="s">
        <v>232</v>
      </c>
      <c r="C44" s="46" t="s">
        <v>233</v>
      </c>
      <c r="D44" s="46" t="s">
        <v>170</v>
      </c>
      <c r="E44" s="46" t="s">
        <v>234</v>
      </c>
      <c r="F44" s="46" t="s">
        <v>235</v>
      </c>
      <c r="G44" s="46" t="s">
        <v>162</v>
      </c>
    </row>
    <row r="45" customFormat="false" ht="23.25" hidden="false" customHeight="true" outlineLevel="0" collapsed="false">
      <c r="A45" s="45" t="n">
        <v>46154</v>
      </c>
      <c r="B45" s="46" t="s">
        <v>236</v>
      </c>
      <c r="C45" s="46" t="s">
        <v>237</v>
      </c>
      <c r="D45" s="46" t="s">
        <v>170</v>
      </c>
      <c r="E45" s="46" t="s">
        <v>238</v>
      </c>
      <c r="F45" s="46" t="s">
        <v>239</v>
      </c>
      <c r="G45" s="46" t="s">
        <v>162</v>
      </c>
    </row>
    <row r="46" customFormat="false" ht="34.5" hidden="false" customHeight="true" outlineLevel="0" collapsed="false">
      <c r="A46" s="45" t="n">
        <v>46155</v>
      </c>
      <c r="B46" s="46" t="s">
        <v>157</v>
      </c>
      <c r="C46" s="46" t="s">
        <v>158</v>
      </c>
      <c r="D46" s="46" t="s">
        <v>159</v>
      </c>
      <c r="E46" s="46" t="s">
        <v>160</v>
      </c>
      <c r="F46" s="46" t="s">
        <v>161</v>
      </c>
      <c r="G46" s="46" t="s">
        <v>162</v>
      </c>
    </row>
    <row r="47" customFormat="false" ht="23.25" hidden="false" customHeight="true" outlineLevel="0" collapsed="false">
      <c r="A47" s="45" t="n">
        <v>46159</v>
      </c>
      <c r="B47" s="46" t="s">
        <v>163</v>
      </c>
      <c r="C47" s="46" t="s">
        <v>240</v>
      </c>
      <c r="D47" s="46" t="s">
        <v>159</v>
      </c>
      <c r="E47" s="46" t="s">
        <v>241</v>
      </c>
      <c r="F47" s="46" t="s">
        <v>242</v>
      </c>
      <c r="G47" s="46" t="s">
        <v>162</v>
      </c>
    </row>
    <row r="48" customFormat="false" ht="34.5" hidden="false" customHeight="true" outlineLevel="0" collapsed="false">
      <c r="A48" s="45" t="n">
        <v>46160</v>
      </c>
      <c r="B48" s="46" t="s">
        <v>243</v>
      </c>
      <c r="C48" s="46" t="s">
        <v>164</v>
      </c>
      <c r="D48" s="46" t="s">
        <v>165</v>
      </c>
      <c r="E48" s="46" t="s">
        <v>244</v>
      </c>
      <c r="F48" s="46" t="s">
        <v>182</v>
      </c>
      <c r="G48" s="46" t="s">
        <v>162</v>
      </c>
    </row>
    <row r="49" customFormat="false" ht="34.5" hidden="false" customHeight="true" outlineLevel="0" collapsed="false">
      <c r="A49" s="45" t="n">
        <v>46162</v>
      </c>
      <c r="B49" s="46" t="s">
        <v>157</v>
      </c>
      <c r="C49" s="46" t="s">
        <v>158</v>
      </c>
      <c r="D49" s="46" t="s">
        <v>159</v>
      </c>
      <c r="E49" s="46" t="s">
        <v>160</v>
      </c>
      <c r="F49" s="46" t="s">
        <v>161</v>
      </c>
      <c r="G49" s="46" t="s">
        <v>162</v>
      </c>
    </row>
    <row r="50" customFormat="false" ht="23.25" hidden="false" customHeight="true" outlineLevel="0" collapsed="false">
      <c r="A50" s="45" t="n">
        <v>46162</v>
      </c>
      <c r="B50" s="46" t="s">
        <v>245</v>
      </c>
      <c r="C50" s="46" t="s">
        <v>246</v>
      </c>
      <c r="D50" s="46" t="s">
        <v>165</v>
      </c>
      <c r="E50" s="46" t="s">
        <v>247</v>
      </c>
      <c r="F50" s="46" t="s">
        <v>227</v>
      </c>
      <c r="G50" s="46" t="s">
        <v>162</v>
      </c>
    </row>
    <row r="51" customFormat="false" ht="23.25" hidden="false" customHeight="true" outlineLevel="0" collapsed="false">
      <c r="A51" s="45" t="n">
        <v>46163</v>
      </c>
      <c r="B51" s="46" t="s">
        <v>248</v>
      </c>
      <c r="C51" s="46" t="s">
        <v>249</v>
      </c>
      <c r="D51" s="46" t="s">
        <v>159</v>
      </c>
      <c r="E51" s="46" t="s">
        <v>250</v>
      </c>
      <c r="F51" s="46" t="s">
        <v>251</v>
      </c>
      <c r="G51" s="46" t="s">
        <v>162</v>
      </c>
    </row>
    <row r="52" customFormat="false" ht="34.5" hidden="false" customHeight="true" outlineLevel="0" collapsed="false">
      <c r="A52" s="45" t="n">
        <v>46168</v>
      </c>
      <c r="B52" s="46" t="s">
        <v>252</v>
      </c>
      <c r="C52" s="46" t="s">
        <v>253</v>
      </c>
      <c r="D52" s="46" t="s">
        <v>170</v>
      </c>
      <c r="E52" s="46" t="s">
        <v>254</v>
      </c>
      <c r="F52" s="46" t="s">
        <v>200</v>
      </c>
      <c r="G52" s="46" t="s">
        <v>162</v>
      </c>
    </row>
    <row r="53" customFormat="false" ht="34.5" hidden="false" customHeight="true" outlineLevel="0" collapsed="false">
      <c r="A53" s="45" t="n">
        <v>46168</v>
      </c>
      <c r="B53" s="46" t="s">
        <v>255</v>
      </c>
      <c r="C53" s="46" t="s">
        <v>256</v>
      </c>
      <c r="D53" s="46" t="s">
        <v>170</v>
      </c>
      <c r="E53" s="46" t="s">
        <v>257</v>
      </c>
      <c r="F53" s="46" t="s">
        <v>258</v>
      </c>
      <c r="G53" s="46" t="s">
        <v>162</v>
      </c>
    </row>
    <row r="54" customFormat="false" ht="34.5" hidden="false" customHeight="true" outlineLevel="0" collapsed="false">
      <c r="A54" s="45" t="n">
        <v>46169</v>
      </c>
      <c r="B54" s="46" t="s">
        <v>157</v>
      </c>
      <c r="C54" s="46" t="s">
        <v>158</v>
      </c>
      <c r="D54" s="46" t="s">
        <v>159</v>
      </c>
      <c r="E54" s="46" t="s">
        <v>160</v>
      </c>
      <c r="F54" s="46" t="s">
        <v>161</v>
      </c>
      <c r="G54" s="46" t="s">
        <v>162</v>
      </c>
    </row>
    <row r="55" customFormat="false" ht="34.5" hidden="false" customHeight="true" outlineLevel="0" collapsed="false">
      <c r="A55" s="45" t="n">
        <v>46171</v>
      </c>
      <c r="B55" s="46" t="s">
        <v>259</v>
      </c>
      <c r="C55" s="46" t="s">
        <v>164</v>
      </c>
      <c r="D55" s="46" t="s">
        <v>165</v>
      </c>
      <c r="E55" s="46" t="s">
        <v>260</v>
      </c>
      <c r="F55" s="46" t="s">
        <v>182</v>
      </c>
      <c r="G55" s="46" t="s">
        <v>162</v>
      </c>
    </row>
    <row r="56" customFormat="false" ht="23.25" hidden="false" customHeight="true" outlineLevel="0" collapsed="false">
      <c r="A56" s="45" t="n">
        <v>46171</v>
      </c>
      <c r="B56" s="46" t="s">
        <v>261</v>
      </c>
      <c r="C56" s="46" t="s">
        <v>164</v>
      </c>
      <c r="D56" s="46" t="s">
        <v>165</v>
      </c>
      <c r="E56" s="46" t="s">
        <v>262</v>
      </c>
      <c r="F56" s="46" t="s">
        <v>182</v>
      </c>
      <c r="G56" s="46" t="s">
        <v>162</v>
      </c>
    </row>
    <row r="57" customFormat="false" ht="34.5" hidden="false" customHeight="true" outlineLevel="0" collapsed="false">
      <c r="A57" s="45" t="n">
        <v>46174</v>
      </c>
      <c r="B57" s="46" t="s">
        <v>263</v>
      </c>
      <c r="C57" s="46" t="s">
        <v>164</v>
      </c>
      <c r="D57" s="46" t="s">
        <v>170</v>
      </c>
      <c r="E57" s="46" t="s">
        <v>264</v>
      </c>
      <c r="F57" s="46" t="s">
        <v>265</v>
      </c>
      <c r="G57" s="46" t="s">
        <v>162</v>
      </c>
    </row>
    <row r="58" customFormat="false" ht="34.5" hidden="false" customHeight="true" outlineLevel="0" collapsed="false">
      <c r="A58" s="45" t="n">
        <v>46174</v>
      </c>
      <c r="B58" s="46" t="s">
        <v>266</v>
      </c>
      <c r="C58" s="46" t="s">
        <v>164</v>
      </c>
      <c r="D58" s="46" t="s">
        <v>170</v>
      </c>
      <c r="E58" s="46" t="s">
        <v>267</v>
      </c>
      <c r="F58" s="46" t="s">
        <v>268</v>
      </c>
      <c r="G58" s="46" t="s">
        <v>162</v>
      </c>
    </row>
    <row r="59" customFormat="false" ht="34.5" hidden="false" customHeight="true" outlineLevel="0" collapsed="false">
      <c r="A59" s="45" t="n">
        <v>46174</v>
      </c>
      <c r="B59" s="46" t="s">
        <v>269</v>
      </c>
      <c r="C59" s="46" t="s">
        <v>164</v>
      </c>
      <c r="D59" s="46" t="s">
        <v>165</v>
      </c>
      <c r="E59" s="46" t="s">
        <v>270</v>
      </c>
      <c r="F59" s="46" t="s">
        <v>182</v>
      </c>
      <c r="G59" s="46" t="s">
        <v>162</v>
      </c>
    </row>
    <row r="60" customFormat="false" ht="15" hidden="false" customHeight="true" outlineLevel="0" collapsed="false">
      <c r="A60" s="45" t="n">
        <v>46181</v>
      </c>
      <c r="B60" s="46" t="s">
        <v>271</v>
      </c>
      <c r="C60" s="46" t="s">
        <v>164</v>
      </c>
      <c r="D60" s="46" t="s">
        <v>165</v>
      </c>
      <c r="E60" s="46" t="s">
        <v>272</v>
      </c>
      <c r="F60" s="46" t="s">
        <v>273</v>
      </c>
      <c r="G60" s="46" t="s">
        <v>162</v>
      </c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276</v>
      </c>
      <c r="B4" s="13" t="s">
        <v>277</v>
      </c>
      <c r="C4" s="13" t="s">
        <v>278</v>
      </c>
      <c r="D4" s="13" t="s">
        <v>279</v>
      </c>
      <c r="E4" s="13" t="s">
        <v>280</v>
      </c>
      <c r="F4" s="13" t="s">
        <v>281</v>
      </c>
      <c r="G4" s="13" t="s">
        <v>282</v>
      </c>
      <c r="H4" s="13" t="s">
        <v>283</v>
      </c>
      <c r="I4" s="13" t="s">
        <v>284</v>
      </c>
      <c r="J4" s="13" t="s">
        <v>89</v>
      </c>
    </row>
    <row r="5" customFormat="false" ht="15" hidden="false" customHeight="true" outlineLevel="0" collapsed="false">
      <c r="A5" s="43" t="s">
        <v>285</v>
      </c>
      <c r="B5" s="43" t="s">
        <v>286</v>
      </c>
      <c r="C5" s="43" t="s">
        <v>287</v>
      </c>
      <c r="D5" s="43" t="s">
        <v>288</v>
      </c>
      <c r="E5" s="43" t="s">
        <v>289</v>
      </c>
      <c r="F5" s="44" t="n">
        <v>2000000</v>
      </c>
      <c r="G5" s="42" t="n">
        <v>46157</v>
      </c>
      <c r="H5" s="42" t="n">
        <v>46202</v>
      </c>
      <c r="I5" s="43" t="s">
        <v>164</v>
      </c>
      <c r="J5" s="43" t="s">
        <v>290</v>
      </c>
    </row>
    <row r="6" customFormat="false" ht="15" hidden="false" customHeight="true" outlineLevel="0" collapsed="false">
      <c r="A6" s="43" t="s">
        <v>291</v>
      </c>
      <c r="B6" s="43" t="s">
        <v>292</v>
      </c>
      <c r="C6" s="43" t="s">
        <v>293</v>
      </c>
      <c r="D6" s="43" t="s">
        <v>294</v>
      </c>
      <c r="E6" s="43" t="s">
        <v>295</v>
      </c>
      <c r="F6" s="44"/>
      <c r="G6" s="42" t="n">
        <v>46181</v>
      </c>
      <c r="H6" s="42" t="n">
        <v>46181</v>
      </c>
      <c r="I6" s="43" t="s">
        <v>164</v>
      </c>
      <c r="J6" s="43" t="s">
        <v>296</v>
      </c>
    </row>
    <row r="7" customFormat="false" ht="15" hidden="false" customHeight="true" outlineLevel="0" collapsed="false">
      <c r="A7" s="43" t="s">
        <v>297</v>
      </c>
      <c r="B7" s="43" t="s">
        <v>298</v>
      </c>
      <c r="C7" s="43" t="s">
        <v>299</v>
      </c>
      <c r="D7" s="43" t="s">
        <v>300</v>
      </c>
      <c r="E7" s="43" t="s">
        <v>295</v>
      </c>
      <c r="F7" s="44"/>
      <c r="G7" s="42" t="n">
        <v>46181</v>
      </c>
      <c r="H7" s="42" t="n">
        <v>46181</v>
      </c>
      <c r="I7" s="43" t="s">
        <v>164</v>
      </c>
      <c r="J7" s="43" t="s">
        <v>301</v>
      </c>
    </row>
    <row r="8" customFormat="false" ht="15" hidden="false" customHeight="true" outlineLevel="0" collapsed="false">
      <c r="A8" s="43" t="s">
        <v>302</v>
      </c>
      <c r="B8" s="43" t="s">
        <v>303</v>
      </c>
      <c r="C8" s="43" t="s">
        <v>304</v>
      </c>
      <c r="D8" s="43" t="s">
        <v>300</v>
      </c>
      <c r="E8" s="43" t="s">
        <v>295</v>
      </c>
      <c r="F8" s="44"/>
      <c r="G8" s="42" t="n">
        <v>46175</v>
      </c>
      <c r="H8" s="42" t="n">
        <v>46175</v>
      </c>
      <c r="I8" s="43" t="s">
        <v>164</v>
      </c>
      <c r="J8" s="43" t="s">
        <v>305</v>
      </c>
    </row>
    <row r="9" customFormat="false" ht="15" hidden="false" customHeight="true" outlineLevel="0" collapsed="false">
      <c r="A9" s="43" t="s">
        <v>306</v>
      </c>
      <c r="B9" s="43" t="s">
        <v>307</v>
      </c>
      <c r="C9" s="43" t="s">
        <v>308</v>
      </c>
      <c r="D9" s="43" t="s">
        <v>300</v>
      </c>
      <c r="E9" s="43" t="s">
        <v>309</v>
      </c>
      <c r="F9" s="47" t="n">
        <v>4000000</v>
      </c>
      <c r="G9" s="42" t="n">
        <v>46200</v>
      </c>
      <c r="H9" s="42" t="n">
        <v>46200</v>
      </c>
      <c r="I9" s="43" t="s">
        <v>164</v>
      </c>
      <c r="J9" s="43" t="s">
        <v>310</v>
      </c>
    </row>
    <row r="10" customFormat="false" ht="15" hidden="false" customHeight="true" outlineLevel="0" collapsed="false">
      <c r="A10" s="43" t="s">
        <v>311</v>
      </c>
      <c r="B10" s="43" t="s">
        <v>312</v>
      </c>
      <c r="C10" s="43" t="s">
        <v>313</v>
      </c>
      <c r="D10" s="43" t="s">
        <v>288</v>
      </c>
      <c r="E10" s="43" t="s">
        <v>314</v>
      </c>
      <c r="F10" s="47"/>
      <c r="G10" s="42" t="n">
        <v>46210</v>
      </c>
      <c r="H10" s="42" t="n">
        <v>46210</v>
      </c>
      <c r="I10" s="43" t="s">
        <v>164</v>
      </c>
      <c r="J10" s="43" t="s">
        <v>315</v>
      </c>
    </row>
    <row r="11" customFormat="false" ht="15" hidden="false" customHeight="true" outlineLevel="0" collapsed="false">
      <c r="A11" s="43" t="s">
        <v>316</v>
      </c>
      <c r="B11" s="43" t="s">
        <v>317</v>
      </c>
      <c r="C11" s="43" t="s">
        <v>318</v>
      </c>
      <c r="D11" s="43" t="s">
        <v>288</v>
      </c>
      <c r="E11" s="43" t="s">
        <v>319</v>
      </c>
      <c r="F11" s="47"/>
      <c r="G11" s="42" t="n">
        <v>46222</v>
      </c>
      <c r="H11" s="42" t="n">
        <v>46222</v>
      </c>
      <c r="I11" s="43" t="s">
        <v>164</v>
      </c>
      <c r="J11" s="43" t="s">
        <v>320</v>
      </c>
    </row>
    <row r="12" customFormat="false" ht="15" hidden="false" customHeight="true" outlineLevel="0" collapsed="false">
      <c r="A12" s="43" t="s">
        <v>321</v>
      </c>
      <c r="B12" s="43" t="s">
        <v>322</v>
      </c>
      <c r="C12" s="43" t="s">
        <v>323</v>
      </c>
      <c r="D12" s="43" t="s">
        <v>324</v>
      </c>
      <c r="E12" s="43" t="s">
        <v>295</v>
      </c>
      <c r="F12" s="47"/>
      <c r="G12" s="42" t="n">
        <v>46213</v>
      </c>
      <c r="H12" s="42" t="n">
        <v>46213</v>
      </c>
      <c r="I12" s="43" t="s">
        <v>164</v>
      </c>
      <c r="J12" s="43" t="s">
        <v>325</v>
      </c>
    </row>
    <row r="13" customFormat="false" ht="15" hidden="false" customHeight="true" outlineLevel="0" collapsed="false">
      <c r="A13" s="43" t="s">
        <v>326</v>
      </c>
      <c r="B13" s="43" t="s">
        <v>327</v>
      </c>
      <c r="C13" s="43" t="s">
        <v>328</v>
      </c>
      <c r="D13" s="43" t="s">
        <v>329</v>
      </c>
      <c r="E13" s="43" t="s">
        <v>295</v>
      </c>
      <c r="F13" s="47"/>
      <c r="G13" s="42" t="n">
        <v>46213</v>
      </c>
      <c r="H13" s="42" t="n">
        <v>46213</v>
      </c>
      <c r="I13" s="43" t="s">
        <v>164</v>
      </c>
      <c r="J13" s="43" t="s">
        <v>330</v>
      </c>
    </row>
    <row r="14" customFormat="false" ht="15" hidden="false" customHeight="true" outlineLevel="0" collapsed="false">
      <c r="A14" s="43" t="s">
        <v>331</v>
      </c>
      <c r="B14" s="43" t="s">
        <v>332</v>
      </c>
      <c r="C14" s="43" t="s">
        <v>333</v>
      </c>
      <c r="D14" s="43" t="s">
        <v>334</v>
      </c>
      <c r="E14" s="43" t="s">
        <v>295</v>
      </c>
      <c r="F14" s="47"/>
      <c r="G14" s="42" t="n">
        <v>46210</v>
      </c>
      <c r="H14" s="42" t="n">
        <v>46210</v>
      </c>
      <c r="I14" s="43" t="s">
        <v>164</v>
      </c>
      <c r="J14" s="43" t="s">
        <v>335</v>
      </c>
    </row>
    <row r="15" customFormat="false" ht="15" hidden="false" customHeight="true" outlineLevel="0" collapsed="false">
      <c r="A15" s="43" t="s">
        <v>336</v>
      </c>
      <c r="B15" s="43" t="s">
        <v>337</v>
      </c>
      <c r="C15" s="43" t="s">
        <v>338</v>
      </c>
      <c r="D15" s="43"/>
      <c r="E15" s="43" t="s">
        <v>314</v>
      </c>
      <c r="F15" s="44"/>
      <c r="G15" s="42" t="n">
        <v>46224</v>
      </c>
      <c r="H15" s="42" t="n">
        <v>46224</v>
      </c>
      <c r="I15" s="43" t="s">
        <v>164</v>
      </c>
      <c r="J15" s="43" t="s">
        <v>339</v>
      </c>
    </row>
    <row r="16" customFormat="false" ht="15" hidden="false" customHeight="true" outlineLevel="0" collapsed="false">
      <c r="A16" s="43" t="s">
        <v>340</v>
      </c>
      <c r="B16" s="43" t="s">
        <v>341</v>
      </c>
      <c r="C16" s="43" t="s">
        <v>342</v>
      </c>
      <c r="D16" s="43" t="s">
        <v>300</v>
      </c>
      <c r="E16" s="43" t="s">
        <v>314</v>
      </c>
      <c r="F16" s="44"/>
      <c r="G16" s="42" t="n">
        <v>46224</v>
      </c>
      <c r="H16" s="42" t="n">
        <v>46224</v>
      </c>
      <c r="I16" s="43" t="s">
        <v>164</v>
      </c>
      <c r="J16" s="43" t="s">
        <v>343</v>
      </c>
    </row>
    <row r="17" customFormat="false" ht="15" hidden="false" customHeight="true" outlineLevel="0" collapsed="false">
      <c r="A17" s="43" t="s">
        <v>344</v>
      </c>
      <c r="B17" s="43" t="s">
        <v>345</v>
      </c>
      <c r="C17" s="43" t="s">
        <v>346</v>
      </c>
      <c r="D17" s="43" t="s">
        <v>288</v>
      </c>
      <c r="E17" s="43" t="s">
        <v>314</v>
      </c>
      <c r="F17" s="44"/>
      <c r="G17" s="42" t="n">
        <v>46224</v>
      </c>
      <c r="H17" s="42" t="n">
        <v>46224</v>
      </c>
      <c r="I17" s="43" t="s">
        <v>164</v>
      </c>
      <c r="J17" s="43" t="s">
        <v>347</v>
      </c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4"/>
      <c r="G18" s="42"/>
      <c r="H18" s="42"/>
      <c r="I18" s="43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3"/>
      <c r="F19" s="44"/>
      <c r="G19" s="42"/>
      <c r="H19" s="42"/>
      <c r="I19" s="43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3"/>
      <c r="F20" s="44"/>
      <c r="G20" s="42"/>
      <c r="H20" s="42"/>
      <c r="I20" s="43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3"/>
      <c r="F21" s="44"/>
      <c r="G21" s="42"/>
      <c r="H21" s="42"/>
      <c r="I21" s="43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3"/>
      <c r="F22" s="44"/>
      <c r="G22" s="42"/>
      <c r="H22" s="42"/>
      <c r="I22" s="43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3"/>
      <c r="F23" s="44"/>
      <c r="G23" s="42"/>
      <c r="H23" s="42"/>
      <c r="I23" s="43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3"/>
      <c r="F24" s="44"/>
      <c r="G24" s="42"/>
      <c r="H24" s="42"/>
      <c r="I24" s="43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3"/>
      <c r="F25" s="44"/>
      <c r="G25" s="42"/>
      <c r="H25" s="42"/>
      <c r="I25" s="43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348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349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350</v>
      </c>
      <c r="B4" s="13" t="s">
        <v>351</v>
      </c>
      <c r="C4" s="13" t="s">
        <v>118</v>
      </c>
      <c r="D4" s="13" t="s">
        <v>352</v>
      </c>
      <c r="E4" s="13" t="s">
        <v>353</v>
      </c>
      <c r="F4" s="13" t="s">
        <v>354</v>
      </c>
      <c r="G4" s="13" t="s">
        <v>355</v>
      </c>
      <c r="H4" s="13" t="s">
        <v>356</v>
      </c>
      <c r="I4" s="13" t="s">
        <v>357</v>
      </c>
      <c r="J4" s="13" t="s">
        <v>358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8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8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8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8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8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8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8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8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8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8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8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8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8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8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8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8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8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8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8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8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8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8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8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8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8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8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8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8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8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8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8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8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8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8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8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8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8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8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8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8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8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8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8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8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8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8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8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8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8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8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8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8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8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8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8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8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8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8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8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8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8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8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8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8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8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8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8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8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8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8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8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8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8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8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8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8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8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8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8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8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8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8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8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8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8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8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8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8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8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8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8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8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8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8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8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359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360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144</v>
      </c>
      <c r="B4" s="13" t="s">
        <v>361</v>
      </c>
      <c r="C4" s="13" t="s">
        <v>362</v>
      </c>
      <c r="D4" s="13" t="s">
        <v>153</v>
      </c>
      <c r="E4" s="13" t="s">
        <v>363</v>
      </c>
      <c r="F4" s="13" t="s">
        <v>364</v>
      </c>
      <c r="G4" s="13" t="s">
        <v>365</v>
      </c>
      <c r="H4" s="13" t="s">
        <v>156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366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367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102</v>
      </c>
      <c r="B4" s="13" t="s">
        <v>368</v>
      </c>
      <c r="C4" s="13" t="s">
        <v>369</v>
      </c>
      <c r="D4" s="13" t="s">
        <v>370</v>
      </c>
      <c r="E4" s="13" t="s">
        <v>371</v>
      </c>
      <c r="F4" s="13" t="s">
        <v>372</v>
      </c>
      <c r="G4" s="13" t="s">
        <v>373</v>
      </c>
      <c r="H4" s="13" t="s">
        <v>374</v>
      </c>
      <c r="I4" s="13" t="s">
        <v>375</v>
      </c>
    </row>
    <row r="5" customFormat="false" ht="15" hidden="false" customHeight="true" outlineLevel="0" collapsed="false">
      <c r="A5" s="38" t="n">
        <v>1</v>
      </c>
      <c r="B5" s="49" t="s">
        <v>157</v>
      </c>
      <c r="C5" s="49" t="s">
        <v>376</v>
      </c>
      <c r="D5" s="49" t="s">
        <v>377</v>
      </c>
      <c r="E5" s="50" t="n">
        <v>46112</v>
      </c>
      <c r="F5" s="50" t="n">
        <v>46038</v>
      </c>
      <c r="G5" s="49" t="s">
        <v>378</v>
      </c>
      <c r="H5" s="49" t="s">
        <v>379</v>
      </c>
      <c r="I5" s="49" t="s">
        <v>380</v>
      </c>
    </row>
    <row r="6" customFormat="false" ht="15" hidden="false" customHeight="true" outlineLevel="0" collapsed="false">
      <c r="A6" s="38" t="n">
        <v>2</v>
      </c>
      <c r="B6" s="49" t="s">
        <v>381</v>
      </c>
      <c r="C6" s="49" t="s">
        <v>382</v>
      </c>
      <c r="D6" s="49" t="s">
        <v>383</v>
      </c>
      <c r="E6" s="50" t="n">
        <v>46112</v>
      </c>
      <c r="F6" s="50"/>
      <c r="G6" s="49" t="s">
        <v>384</v>
      </c>
      <c r="H6" s="49" t="s">
        <v>379</v>
      </c>
      <c r="I6" s="49" t="s">
        <v>380</v>
      </c>
    </row>
    <row r="7" customFormat="false" ht="15" hidden="false" customHeight="true" outlineLevel="0" collapsed="false">
      <c r="A7" s="38" t="n">
        <v>3</v>
      </c>
      <c r="B7" s="49" t="s">
        <v>385</v>
      </c>
      <c r="C7" s="49" t="s">
        <v>386</v>
      </c>
      <c r="D7" s="49" t="s">
        <v>387</v>
      </c>
      <c r="E7" s="50" t="n">
        <v>46112</v>
      </c>
      <c r="F7" s="50"/>
      <c r="G7" s="49" t="s">
        <v>388</v>
      </c>
      <c r="H7" s="49" t="s">
        <v>379</v>
      </c>
      <c r="I7" s="49" t="s">
        <v>380</v>
      </c>
    </row>
    <row r="8" customFormat="false" ht="15" hidden="false" customHeight="true" outlineLevel="0" collapsed="false">
      <c r="A8" s="38" t="n">
        <v>4</v>
      </c>
      <c r="B8" s="49" t="s">
        <v>168</v>
      </c>
      <c r="C8" s="49" t="s">
        <v>389</v>
      </c>
      <c r="D8" s="49" t="s">
        <v>390</v>
      </c>
      <c r="E8" s="50" t="n">
        <v>46131</v>
      </c>
      <c r="F8" s="50"/>
      <c r="G8" s="49" t="s">
        <v>391</v>
      </c>
      <c r="H8" s="49" t="s">
        <v>379</v>
      </c>
      <c r="I8" s="49" t="s">
        <v>392</v>
      </c>
    </row>
    <row r="9" customFormat="false" ht="15" hidden="false" customHeight="true" outlineLevel="0" collapsed="false">
      <c r="A9" s="38" t="n">
        <v>5</v>
      </c>
      <c r="B9" s="49" t="s">
        <v>173</v>
      </c>
      <c r="C9" s="49" t="s">
        <v>393</v>
      </c>
      <c r="D9" s="49" t="s">
        <v>394</v>
      </c>
      <c r="E9" s="50" t="n">
        <v>46131</v>
      </c>
      <c r="F9" s="50"/>
      <c r="G9" s="49" t="s">
        <v>395</v>
      </c>
      <c r="H9" s="49" t="s">
        <v>379</v>
      </c>
      <c r="I9" s="49" t="s">
        <v>392</v>
      </c>
    </row>
    <row r="10" customFormat="false" ht="15" hidden="false" customHeight="true" outlineLevel="0" collapsed="false">
      <c r="A10" s="38" t="n">
        <v>6</v>
      </c>
      <c r="B10" s="49" t="s">
        <v>183</v>
      </c>
      <c r="C10" s="49" t="s">
        <v>396</v>
      </c>
      <c r="D10" s="49" t="s">
        <v>387</v>
      </c>
      <c r="E10" s="50" t="n">
        <v>46135</v>
      </c>
      <c r="F10" s="50" t="n">
        <v>46148</v>
      </c>
      <c r="G10" s="49" t="s">
        <v>397</v>
      </c>
      <c r="H10" s="49" t="s">
        <v>379</v>
      </c>
      <c r="I10" s="49" t="s">
        <v>398</v>
      </c>
    </row>
    <row r="11" customFormat="false" ht="15" hidden="false" customHeight="true" outlineLevel="0" collapsed="false">
      <c r="A11" s="38" t="n">
        <v>7</v>
      </c>
      <c r="B11" s="49" t="s">
        <v>194</v>
      </c>
      <c r="C11" s="49" t="s">
        <v>399</v>
      </c>
      <c r="D11" s="49" t="s">
        <v>400</v>
      </c>
      <c r="E11" s="50" t="n">
        <v>46139</v>
      </c>
      <c r="F11" s="50" t="n">
        <v>46148</v>
      </c>
      <c r="G11" s="49" t="s">
        <v>388</v>
      </c>
      <c r="H11" s="49" t="s">
        <v>379</v>
      </c>
      <c r="I11" s="49" t="s">
        <v>401</v>
      </c>
    </row>
    <row r="12" customFormat="false" ht="15" hidden="false" customHeight="true" outlineLevel="0" collapsed="false">
      <c r="A12" s="38" t="n">
        <v>8</v>
      </c>
      <c r="B12" s="49" t="s">
        <v>201</v>
      </c>
      <c r="C12" s="49" t="s">
        <v>402</v>
      </c>
      <c r="D12" s="49" t="s">
        <v>403</v>
      </c>
      <c r="E12" s="50" t="n">
        <v>46140</v>
      </c>
      <c r="F12" s="50" t="n">
        <v>46141</v>
      </c>
      <c r="G12" s="49" t="s">
        <v>388</v>
      </c>
      <c r="H12" s="49" t="s">
        <v>379</v>
      </c>
      <c r="I12" s="49" t="s">
        <v>404</v>
      </c>
    </row>
    <row r="13" customFormat="false" ht="15" hidden="false" customHeight="true" outlineLevel="0" collapsed="false">
      <c r="A13" s="38" t="n">
        <v>9</v>
      </c>
      <c r="B13" s="49" t="s">
        <v>207</v>
      </c>
      <c r="C13" s="49" t="s">
        <v>405</v>
      </c>
      <c r="D13" s="49" t="s">
        <v>406</v>
      </c>
      <c r="E13" s="50" t="n">
        <v>46142</v>
      </c>
      <c r="F13" s="50" t="n">
        <v>46142</v>
      </c>
      <c r="G13" s="49" t="s">
        <v>407</v>
      </c>
      <c r="H13" s="49" t="s">
        <v>379</v>
      </c>
      <c r="I13" s="49" t="s">
        <v>408</v>
      </c>
    </row>
    <row r="14" customFormat="false" ht="15" hidden="false" customHeight="true" outlineLevel="0" collapsed="false">
      <c r="A14" s="38" t="n">
        <v>10</v>
      </c>
      <c r="B14" s="49" t="s">
        <v>409</v>
      </c>
      <c r="C14" s="49" t="s">
        <v>410</v>
      </c>
      <c r="D14" s="49" t="s">
        <v>387</v>
      </c>
      <c r="E14" s="50"/>
      <c r="F14" s="50" t="n">
        <v>46148</v>
      </c>
      <c r="G14" s="49" t="s">
        <v>411</v>
      </c>
      <c r="H14" s="49" t="s">
        <v>379</v>
      </c>
      <c r="I14" s="49" t="s">
        <v>412</v>
      </c>
    </row>
    <row r="15" customFormat="false" ht="15" hidden="false" customHeight="true" outlineLevel="0" collapsed="false">
      <c r="A15" s="38" t="n">
        <v>11</v>
      </c>
      <c r="B15" s="49" t="s">
        <v>413</v>
      </c>
      <c r="C15" s="49" t="s">
        <v>414</v>
      </c>
      <c r="D15" s="49" t="s">
        <v>387</v>
      </c>
      <c r="E15" s="50"/>
      <c r="F15" s="50"/>
      <c r="G15" s="49" t="s">
        <v>415</v>
      </c>
      <c r="H15" s="49" t="s">
        <v>379</v>
      </c>
      <c r="I15" s="49" t="s">
        <v>412</v>
      </c>
    </row>
    <row r="16" customFormat="false" ht="15" hidden="false" customHeight="true" outlineLevel="0" collapsed="false">
      <c r="A16" s="38" t="n">
        <v>12</v>
      </c>
      <c r="B16" s="49" t="s">
        <v>232</v>
      </c>
      <c r="C16" s="49" t="s">
        <v>416</v>
      </c>
      <c r="D16" s="49" t="s">
        <v>417</v>
      </c>
      <c r="E16" s="50" t="n">
        <v>46154</v>
      </c>
      <c r="F16" s="50"/>
      <c r="G16" s="49" t="s">
        <v>418</v>
      </c>
      <c r="H16" s="49" t="s">
        <v>379</v>
      </c>
      <c r="I16" s="49" t="s">
        <v>419</v>
      </c>
    </row>
    <row r="17" customFormat="false" ht="15" hidden="false" customHeight="true" outlineLevel="0" collapsed="false">
      <c r="A17" s="38" t="n">
        <v>13</v>
      </c>
      <c r="B17" s="49" t="s">
        <v>236</v>
      </c>
      <c r="C17" s="49" t="s">
        <v>420</v>
      </c>
      <c r="D17" s="49" t="s">
        <v>417</v>
      </c>
      <c r="E17" s="50" t="n">
        <v>46154</v>
      </c>
      <c r="F17" s="50"/>
      <c r="G17" s="49" t="s">
        <v>421</v>
      </c>
      <c r="H17" s="49" t="s">
        <v>379</v>
      </c>
      <c r="I17" s="49" t="s">
        <v>419</v>
      </c>
    </row>
    <row r="18" customFormat="false" ht="15" hidden="false" customHeight="true" outlineLevel="0" collapsed="false">
      <c r="A18" s="38" t="n">
        <v>14</v>
      </c>
      <c r="B18" s="49" t="s">
        <v>422</v>
      </c>
      <c r="C18" s="49" t="s">
        <v>423</v>
      </c>
      <c r="D18" s="49" t="s">
        <v>387</v>
      </c>
      <c r="E18" s="50" t="n">
        <v>46127</v>
      </c>
      <c r="F18" s="50" t="n">
        <v>46127</v>
      </c>
      <c r="G18" s="49" t="s">
        <v>424</v>
      </c>
      <c r="H18" s="49" t="s">
        <v>379</v>
      </c>
      <c r="I18" s="49" t="s">
        <v>425</v>
      </c>
    </row>
    <row r="19" customFormat="false" ht="15" hidden="false" customHeight="true" outlineLevel="0" collapsed="false">
      <c r="A19" s="38" t="n">
        <v>15</v>
      </c>
      <c r="B19" s="49" t="s">
        <v>426</v>
      </c>
      <c r="C19" s="49" t="s">
        <v>427</v>
      </c>
      <c r="D19" s="49" t="s">
        <v>428</v>
      </c>
      <c r="E19" s="50" t="n">
        <v>46127</v>
      </c>
      <c r="F19" s="50"/>
      <c r="G19" s="49" t="s">
        <v>429</v>
      </c>
      <c r="H19" s="49" t="s">
        <v>379</v>
      </c>
      <c r="I19" s="49" t="s">
        <v>425</v>
      </c>
    </row>
    <row r="20" customFormat="false" ht="15" hidden="false" customHeight="true" outlineLevel="0" collapsed="false">
      <c r="A20" s="38" t="n">
        <v>16</v>
      </c>
      <c r="B20" s="49" t="s">
        <v>196</v>
      </c>
      <c r="C20" s="49" t="s">
        <v>430</v>
      </c>
      <c r="D20" s="49" t="s">
        <v>431</v>
      </c>
      <c r="E20" s="50" t="n">
        <v>46139</v>
      </c>
      <c r="F20" s="50" t="n">
        <v>46141</v>
      </c>
      <c r="G20" s="49" t="s">
        <v>412</v>
      </c>
      <c r="H20" s="49" t="s">
        <v>217</v>
      </c>
      <c r="I20" s="49" t="s">
        <v>401</v>
      </c>
    </row>
    <row r="21" customFormat="false" ht="15" hidden="false" customHeight="true" outlineLevel="0" collapsed="false">
      <c r="A21" s="38" t="n">
        <v>17</v>
      </c>
      <c r="B21" s="49" t="s">
        <v>186</v>
      </c>
      <c r="C21" s="49" t="s">
        <v>432</v>
      </c>
      <c r="D21" s="49" t="s">
        <v>412</v>
      </c>
      <c r="E21" s="50" t="n">
        <v>46135</v>
      </c>
      <c r="F21" s="50" t="n">
        <v>46139</v>
      </c>
      <c r="G21" s="49" t="s">
        <v>412</v>
      </c>
      <c r="H21" s="49" t="s">
        <v>217</v>
      </c>
      <c r="I21" s="49" t="s">
        <v>398</v>
      </c>
    </row>
    <row r="22" customFormat="false" ht="15" hidden="false" customHeight="true" outlineLevel="0" collapsed="false">
      <c r="A22" s="38" t="n">
        <v>18</v>
      </c>
      <c r="B22" s="49" t="s">
        <v>198</v>
      </c>
      <c r="C22" s="49" t="s">
        <v>433</v>
      </c>
      <c r="D22" s="49" t="s">
        <v>412</v>
      </c>
      <c r="E22" s="50" t="n">
        <v>46139</v>
      </c>
      <c r="F22" s="50"/>
      <c r="G22" s="49" t="s">
        <v>412</v>
      </c>
      <c r="H22" s="49" t="s">
        <v>217</v>
      </c>
      <c r="I22" s="49" t="s">
        <v>401</v>
      </c>
    </row>
    <row r="23" customFormat="false" ht="15" hidden="false" customHeight="true" outlineLevel="0" collapsed="false">
      <c r="A23" s="38" t="n">
        <v>19</v>
      </c>
      <c r="B23" s="49" t="s">
        <v>204</v>
      </c>
      <c r="C23" s="49" t="s">
        <v>434</v>
      </c>
      <c r="D23" s="49" t="s">
        <v>412</v>
      </c>
      <c r="E23" s="50" t="n">
        <v>46140</v>
      </c>
      <c r="F23" s="50"/>
      <c r="G23" s="49" t="s">
        <v>412</v>
      </c>
      <c r="H23" s="49" t="s">
        <v>217</v>
      </c>
      <c r="I23" s="49" t="s">
        <v>404</v>
      </c>
    </row>
    <row r="24" customFormat="false" ht="15" hidden="false" customHeight="true" outlineLevel="0" collapsed="false">
      <c r="A24" s="38" t="n">
        <v>20</v>
      </c>
      <c r="B24" s="49" t="s">
        <v>176</v>
      </c>
      <c r="C24" s="49" t="s">
        <v>435</v>
      </c>
      <c r="D24" s="49" t="s">
        <v>436</v>
      </c>
      <c r="E24" s="50" t="n">
        <v>46132</v>
      </c>
      <c r="F24" s="50" t="n">
        <v>46142</v>
      </c>
      <c r="G24" s="49" t="s">
        <v>412</v>
      </c>
      <c r="H24" s="49" t="s">
        <v>217</v>
      </c>
      <c r="I24" s="49" t="s">
        <v>437</v>
      </c>
    </row>
    <row r="25" customFormat="false" ht="15" hidden="false" customHeight="true" outlineLevel="0" collapsed="false">
      <c r="A25" s="38" t="n">
        <v>21</v>
      </c>
      <c r="B25" s="49" t="s">
        <v>215</v>
      </c>
      <c r="C25" s="49" t="s">
        <v>438</v>
      </c>
      <c r="D25" s="49" t="s">
        <v>412</v>
      </c>
      <c r="E25" s="50" t="n">
        <v>46146</v>
      </c>
      <c r="F25" s="50"/>
      <c r="G25" s="49" t="s">
        <v>412</v>
      </c>
      <c r="H25" s="49" t="s">
        <v>217</v>
      </c>
      <c r="I25" s="49" t="s">
        <v>439</v>
      </c>
    </row>
    <row r="26" customFormat="false" ht="15" hidden="false" customHeight="true" outlineLevel="0" collapsed="false">
      <c r="A26" s="38" t="n">
        <v>22</v>
      </c>
      <c r="B26" s="49" t="s">
        <v>212</v>
      </c>
      <c r="C26" s="49" t="s">
        <v>440</v>
      </c>
      <c r="D26" s="49" t="s">
        <v>412</v>
      </c>
      <c r="E26" s="50" t="n">
        <v>46146</v>
      </c>
      <c r="F26" s="50"/>
      <c r="G26" s="49" t="s">
        <v>412</v>
      </c>
      <c r="H26" s="49" t="s">
        <v>217</v>
      </c>
      <c r="I26" s="49" t="s">
        <v>439</v>
      </c>
    </row>
    <row r="27" customFormat="false" ht="15" hidden="false" customHeight="true" outlineLevel="0" collapsed="false">
      <c r="A27" s="38" t="n">
        <v>23</v>
      </c>
      <c r="B27" s="49" t="s">
        <v>441</v>
      </c>
      <c r="C27" s="49" t="s">
        <v>412</v>
      </c>
      <c r="D27" s="49" t="s">
        <v>442</v>
      </c>
      <c r="E27" s="50" t="n">
        <v>46112</v>
      </c>
      <c r="F27" s="50"/>
      <c r="G27" s="49" t="s">
        <v>412</v>
      </c>
      <c r="H27" s="49" t="s">
        <v>217</v>
      </c>
      <c r="I27" s="49" t="s">
        <v>380</v>
      </c>
    </row>
    <row r="28" customFormat="false" ht="15" hidden="false" customHeight="true" outlineLevel="0" collapsed="false">
      <c r="A28" s="38" t="n">
        <v>24</v>
      </c>
      <c r="B28" s="49" t="s">
        <v>443</v>
      </c>
      <c r="C28" s="49" t="s">
        <v>444</v>
      </c>
      <c r="D28" s="49" t="s">
        <v>412</v>
      </c>
      <c r="E28" s="50" t="n">
        <v>46127</v>
      </c>
      <c r="F28" s="50"/>
      <c r="G28" s="49" t="s">
        <v>412</v>
      </c>
      <c r="H28" s="49" t="s">
        <v>445</v>
      </c>
      <c r="I28" s="49" t="s">
        <v>425</v>
      </c>
    </row>
    <row r="29" customFormat="false" ht="15" hidden="false" customHeight="true" outlineLevel="0" collapsed="false">
      <c r="A29" s="38" t="n">
        <v>25</v>
      </c>
      <c r="B29" s="49" t="s">
        <v>443</v>
      </c>
      <c r="C29" s="49" t="s">
        <v>446</v>
      </c>
      <c r="D29" s="49" t="s">
        <v>412</v>
      </c>
      <c r="E29" s="50" t="n">
        <v>46127</v>
      </c>
      <c r="F29" s="50"/>
      <c r="G29" s="49" t="s">
        <v>412</v>
      </c>
      <c r="H29" s="49" t="s">
        <v>445</v>
      </c>
      <c r="I29" s="49" t="s">
        <v>425</v>
      </c>
    </row>
    <row r="30" customFormat="false" ht="15" hidden="false" customHeight="true" outlineLevel="0" collapsed="false">
      <c r="A30" s="38" t="n">
        <v>26</v>
      </c>
      <c r="B30" s="49" t="s">
        <v>447</v>
      </c>
      <c r="C30" s="49" t="s">
        <v>448</v>
      </c>
      <c r="D30" s="49" t="s">
        <v>412</v>
      </c>
      <c r="E30" s="50" t="n">
        <v>46127</v>
      </c>
      <c r="F30" s="50"/>
      <c r="G30" s="49" t="s">
        <v>412</v>
      </c>
      <c r="H30" s="49" t="s">
        <v>445</v>
      </c>
      <c r="I30" s="49" t="s">
        <v>425</v>
      </c>
    </row>
    <row r="31" customFormat="false" ht="15" hidden="false" customHeight="true" outlineLevel="0" collapsed="false">
      <c r="A31" s="38" t="n">
        <v>27</v>
      </c>
      <c r="B31" s="49" t="s">
        <v>210</v>
      </c>
      <c r="C31" s="49" t="s">
        <v>449</v>
      </c>
      <c r="D31" s="49" t="s">
        <v>412</v>
      </c>
      <c r="E31" s="50" t="n">
        <v>46134</v>
      </c>
      <c r="F31" s="50" t="n">
        <v>46146</v>
      </c>
      <c r="G31" s="49" t="s">
        <v>412</v>
      </c>
      <c r="H31" s="49" t="s">
        <v>445</v>
      </c>
      <c r="I31" s="49" t="s">
        <v>450</v>
      </c>
    </row>
    <row r="32" customFormat="false" ht="15" hidden="false" customHeight="true" outlineLevel="0" collapsed="false">
      <c r="A32" s="38" t="n">
        <v>28</v>
      </c>
      <c r="B32" s="49" t="s">
        <v>188</v>
      </c>
      <c r="C32" s="49" t="s">
        <v>451</v>
      </c>
      <c r="D32" s="49" t="s">
        <v>412</v>
      </c>
      <c r="E32" s="50" t="n">
        <v>46135</v>
      </c>
      <c r="F32" s="50" t="n">
        <v>46159</v>
      </c>
      <c r="G32" s="49" t="s">
        <v>412</v>
      </c>
      <c r="H32" s="49" t="s">
        <v>445</v>
      </c>
      <c r="I32" s="49" t="s">
        <v>398</v>
      </c>
    </row>
    <row r="33" customFormat="false" ht="15" hidden="false" customHeight="true" outlineLevel="0" collapsed="false">
      <c r="A33" s="38" t="n">
        <v>29</v>
      </c>
      <c r="B33" s="49" t="s">
        <v>191</v>
      </c>
      <c r="C33" s="49" t="s">
        <v>452</v>
      </c>
      <c r="D33" s="49" t="s">
        <v>412</v>
      </c>
      <c r="E33" s="50" t="n">
        <v>46138</v>
      </c>
      <c r="F33" s="50"/>
      <c r="G33" s="49" t="s">
        <v>412</v>
      </c>
      <c r="H33" s="49" t="s">
        <v>445</v>
      </c>
      <c r="I33" s="49" t="s">
        <v>453</v>
      </c>
    </row>
    <row r="34" customFormat="false" ht="15" hidden="false" customHeight="true" outlineLevel="0" collapsed="false">
      <c r="A34" s="38" t="n">
        <v>30</v>
      </c>
      <c r="B34" s="49" t="s">
        <v>218</v>
      </c>
      <c r="C34" s="49" t="s">
        <v>454</v>
      </c>
      <c r="D34" s="49" t="s">
        <v>412</v>
      </c>
      <c r="E34" s="50" t="n">
        <v>46146</v>
      </c>
      <c r="F34" s="50"/>
      <c r="G34" s="49" t="s">
        <v>412</v>
      </c>
      <c r="H34" s="49" t="s">
        <v>445</v>
      </c>
      <c r="I34" s="49" t="s">
        <v>439</v>
      </c>
    </row>
    <row r="35" customFormat="false" ht="15" hidden="false" customHeight="true" outlineLevel="0" collapsed="false">
      <c r="A35" s="38" t="n">
        <v>31</v>
      </c>
      <c r="B35" s="49" t="s">
        <v>221</v>
      </c>
      <c r="C35" s="49" t="s">
        <v>455</v>
      </c>
      <c r="D35" s="49" t="s">
        <v>412</v>
      </c>
      <c r="E35" s="50" t="n">
        <v>46146</v>
      </c>
      <c r="F35" s="50"/>
      <c r="G35" s="49" t="s">
        <v>412</v>
      </c>
      <c r="H35" s="49" t="s">
        <v>445</v>
      </c>
      <c r="I35" s="49" t="s">
        <v>439</v>
      </c>
    </row>
    <row r="36" customFormat="false" ht="15" hidden="false" customHeight="true" outlineLevel="0" collapsed="false">
      <c r="A36" s="38" t="n">
        <v>32</v>
      </c>
      <c r="B36" s="49" t="s">
        <v>456</v>
      </c>
      <c r="C36" s="49" t="s">
        <v>457</v>
      </c>
      <c r="D36" s="49" t="s">
        <v>412</v>
      </c>
      <c r="E36" s="50" t="n">
        <v>46127</v>
      </c>
      <c r="F36" s="50"/>
      <c r="G36" s="49" t="s">
        <v>412</v>
      </c>
      <c r="H36" s="49" t="s">
        <v>445</v>
      </c>
      <c r="I36" s="49" t="s">
        <v>425</v>
      </c>
    </row>
    <row r="37" customFormat="false" ht="15" hidden="false" customHeight="true" outlineLevel="0" collapsed="false">
      <c r="A37" s="38" t="n">
        <v>33</v>
      </c>
      <c r="B37" s="49" t="s">
        <v>458</v>
      </c>
      <c r="C37" s="49" t="s">
        <v>459</v>
      </c>
      <c r="D37" s="49" t="s">
        <v>412</v>
      </c>
      <c r="E37" s="50" t="n">
        <v>46127</v>
      </c>
      <c r="F37" s="50"/>
      <c r="G37" s="49" t="s">
        <v>412</v>
      </c>
      <c r="H37" s="49" t="s">
        <v>460</v>
      </c>
      <c r="I37" s="49" t="s">
        <v>425</v>
      </c>
    </row>
    <row r="38" customFormat="false" ht="15" hidden="false" customHeight="true" outlineLevel="0" collapsed="false">
      <c r="A38" s="38" t="n">
        <v>34</v>
      </c>
      <c r="B38" s="49" t="s">
        <v>461</v>
      </c>
      <c r="C38" s="49" t="s">
        <v>462</v>
      </c>
      <c r="D38" s="49" t="s">
        <v>412</v>
      </c>
      <c r="E38" s="50" t="n">
        <v>46127</v>
      </c>
      <c r="F38" s="50"/>
      <c r="G38" s="49" t="s">
        <v>412</v>
      </c>
      <c r="H38" s="49" t="s">
        <v>460</v>
      </c>
      <c r="I38" s="49" t="s">
        <v>425</v>
      </c>
    </row>
    <row r="39" customFormat="false" ht="15" hidden="false" customHeight="true" outlineLevel="0" collapsed="false">
      <c r="A39" s="38" t="n">
        <v>35</v>
      </c>
      <c r="B39" s="49" t="s">
        <v>163</v>
      </c>
      <c r="C39" s="49" t="s">
        <v>463</v>
      </c>
      <c r="D39" s="49" t="s">
        <v>412</v>
      </c>
      <c r="E39" s="50" t="n">
        <v>46127</v>
      </c>
      <c r="F39" s="50"/>
      <c r="G39" s="49" t="s">
        <v>412</v>
      </c>
      <c r="H39" s="49" t="s">
        <v>460</v>
      </c>
      <c r="I39" s="49" t="s">
        <v>425</v>
      </c>
    </row>
    <row r="40" customFormat="false" ht="15" hidden="false" customHeight="true" outlineLevel="0" collapsed="false">
      <c r="A40" s="38" t="n">
        <v>36</v>
      </c>
      <c r="B40" s="49" t="s">
        <v>464</v>
      </c>
      <c r="C40" s="49" t="s">
        <v>465</v>
      </c>
      <c r="D40" s="49" t="s">
        <v>412</v>
      </c>
      <c r="E40" s="50" t="n">
        <v>46127</v>
      </c>
      <c r="F40" s="50"/>
      <c r="G40" s="49" t="s">
        <v>412</v>
      </c>
      <c r="H40" s="49" t="s">
        <v>460</v>
      </c>
      <c r="I40" s="49" t="s">
        <v>425</v>
      </c>
    </row>
    <row r="41" customFormat="false" ht="15" hidden="false" customHeight="true" outlineLevel="0" collapsed="false">
      <c r="A41" s="38" t="n">
        <v>37</v>
      </c>
      <c r="B41" s="49" t="s">
        <v>466</v>
      </c>
      <c r="C41" s="49" t="s">
        <v>467</v>
      </c>
      <c r="D41" s="49" t="s">
        <v>412</v>
      </c>
      <c r="E41" s="50" t="n">
        <v>46127</v>
      </c>
      <c r="F41" s="50"/>
      <c r="G41" s="49" t="s">
        <v>412</v>
      </c>
      <c r="H41" s="49" t="s">
        <v>460</v>
      </c>
      <c r="I41" s="49" t="s">
        <v>425</v>
      </c>
    </row>
    <row r="42" customFormat="false" ht="15" hidden="false" customHeight="true" outlineLevel="0" collapsed="false">
      <c r="A42" s="38" t="n">
        <v>38</v>
      </c>
      <c r="B42" s="49" t="s">
        <v>468</v>
      </c>
      <c r="C42" s="49" t="s">
        <v>469</v>
      </c>
      <c r="D42" s="49" t="s">
        <v>412</v>
      </c>
      <c r="E42" s="50" t="n">
        <v>46127</v>
      </c>
      <c r="F42" s="50"/>
      <c r="G42" s="49" t="s">
        <v>412</v>
      </c>
      <c r="H42" s="49" t="s">
        <v>460</v>
      </c>
      <c r="I42" s="49" t="s">
        <v>425</v>
      </c>
    </row>
    <row r="43" customFormat="false" ht="15" hidden="false" customHeight="true" outlineLevel="0" collapsed="false">
      <c r="A43" s="38" t="n">
        <v>39</v>
      </c>
      <c r="B43" s="49" t="s">
        <v>470</v>
      </c>
      <c r="C43" s="49" t="s">
        <v>444</v>
      </c>
      <c r="D43" s="49" t="s">
        <v>412</v>
      </c>
      <c r="E43" s="50" t="n">
        <v>46127</v>
      </c>
      <c r="F43" s="50"/>
      <c r="G43" s="49" t="s">
        <v>412</v>
      </c>
      <c r="H43" s="49" t="s">
        <v>460</v>
      </c>
      <c r="I43" s="49" t="s">
        <v>425</v>
      </c>
    </row>
    <row r="44" customFormat="false" ht="15" hidden="false" customHeight="true" outlineLevel="0" collapsed="false">
      <c r="A44" s="38" t="n">
        <v>40</v>
      </c>
      <c r="B44" s="49" t="s">
        <v>471</v>
      </c>
      <c r="C44" s="49" t="s">
        <v>472</v>
      </c>
      <c r="D44" s="49" t="s">
        <v>412</v>
      </c>
      <c r="E44" s="50" t="n">
        <v>46127</v>
      </c>
      <c r="F44" s="50"/>
      <c r="G44" s="49" t="s">
        <v>412</v>
      </c>
      <c r="H44" s="49" t="s">
        <v>460</v>
      </c>
      <c r="I44" s="49" t="s">
        <v>425</v>
      </c>
    </row>
    <row r="45" customFormat="false" ht="15" hidden="false" customHeight="true" outlineLevel="0" collapsed="false">
      <c r="A45" s="38" t="n">
        <v>41</v>
      </c>
      <c r="B45" s="49" t="s">
        <v>473</v>
      </c>
      <c r="C45" s="49" t="s">
        <v>474</v>
      </c>
      <c r="D45" s="49" t="s">
        <v>412</v>
      </c>
      <c r="E45" s="50" t="n">
        <v>46127</v>
      </c>
      <c r="F45" s="50"/>
      <c r="G45" s="49" t="s">
        <v>412</v>
      </c>
      <c r="H45" s="49" t="s">
        <v>460</v>
      </c>
      <c r="I45" s="49" t="s">
        <v>475</v>
      </c>
    </row>
    <row r="46" customFormat="false" ht="15" hidden="false" customHeight="true" outlineLevel="0" collapsed="false">
      <c r="A46" s="38" t="n">
        <v>42</v>
      </c>
      <c r="B46" s="49" t="s">
        <v>179</v>
      </c>
      <c r="C46" s="49" t="s">
        <v>476</v>
      </c>
      <c r="D46" s="49" t="s">
        <v>412</v>
      </c>
      <c r="E46" s="50" t="n">
        <v>46132</v>
      </c>
      <c r="F46" s="50"/>
      <c r="G46" s="49" t="s">
        <v>412</v>
      </c>
      <c r="H46" s="49" t="s">
        <v>460</v>
      </c>
      <c r="I46" s="49" t="s">
        <v>437</v>
      </c>
    </row>
    <row r="47" customFormat="false" ht="15" hidden="false" customHeight="true" outlineLevel="0" collapsed="false">
      <c r="A47" s="38" t="n">
        <v>43</v>
      </c>
      <c r="B47" s="49" t="s">
        <v>477</v>
      </c>
      <c r="C47" s="49" t="s">
        <v>478</v>
      </c>
      <c r="D47" s="49" t="s">
        <v>412</v>
      </c>
      <c r="E47" s="50" t="n">
        <v>46127</v>
      </c>
      <c r="F47" s="50"/>
      <c r="G47" s="49" t="s">
        <v>412</v>
      </c>
      <c r="H47" s="49" t="s">
        <v>460</v>
      </c>
      <c r="I47" s="49" t="s">
        <v>425</v>
      </c>
    </row>
    <row r="48" customFormat="false" ht="15" hidden="false" customHeight="true" outlineLevel="0" collapsed="false">
      <c r="A48" s="38" t="n">
        <v>44</v>
      </c>
      <c r="B48" s="49" t="s">
        <v>479</v>
      </c>
      <c r="C48" s="49" t="s">
        <v>412</v>
      </c>
      <c r="D48" s="49" t="s">
        <v>412</v>
      </c>
      <c r="E48" s="50" t="n">
        <v>46127</v>
      </c>
      <c r="F48" s="50"/>
      <c r="G48" s="49" t="s">
        <v>412</v>
      </c>
      <c r="H48" s="49" t="s">
        <v>460</v>
      </c>
      <c r="I48" s="49" t="s">
        <v>425</v>
      </c>
    </row>
    <row r="49" customFormat="false" ht="15" hidden="false" customHeight="true" outlineLevel="0" collapsed="false">
      <c r="A49" s="38" t="n">
        <v>45</v>
      </c>
      <c r="B49" s="49" t="s">
        <v>480</v>
      </c>
      <c r="C49" s="49" t="s">
        <v>481</v>
      </c>
      <c r="D49" s="49" t="s">
        <v>412</v>
      </c>
      <c r="E49" s="50" t="n">
        <v>46127</v>
      </c>
      <c r="F49" s="50"/>
      <c r="G49" s="49" t="s">
        <v>412</v>
      </c>
      <c r="H49" s="49" t="s">
        <v>460</v>
      </c>
      <c r="I49" s="49" t="s">
        <v>425</v>
      </c>
    </row>
    <row r="50" customFormat="false" ht="15" hidden="false" customHeight="true" outlineLevel="0" collapsed="false">
      <c r="A50" s="38" t="n">
        <v>46</v>
      </c>
      <c r="B50" s="49" t="s">
        <v>482</v>
      </c>
      <c r="C50" s="49" t="s">
        <v>483</v>
      </c>
      <c r="D50" s="49" t="s">
        <v>412</v>
      </c>
      <c r="E50" s="50" t="n">
        <v>46127</v>
      </c>
      <c r="F50" s="50"/>
      <c r="G50" s="49" t="s">
        <v>412</v>
      </c>
      <c r="H50" s="49" t="s">
        <v>460</v>
      </c>
      <c r="I50" s="49" t="s">
        <v>425</v>
      </c>
    </row>
    <row r="51" customFormat="false" ht="15" hidden="false" customHeight="true" outlineLevel="0" collapsed="false">
      <c r="A51" s="38" t="n">
        <v>47</v>
      </c>
      <c r="B51" s="49" t="s">
        <v>484</v>
      </c>
      <c r="C51" s="49" t="s">
        <v>485</v>
      </c>
      <c r="D51" s="49" t="s">
        <v>412</v>
      </c>
      <c r="E51" s="50" t="n">
        <v>46127</v>
      </c>
      <c r="F51" s="50"/>
      <c r="G51" s="49" t="s">
        <v>412</v>
      </c>
      <c r="H51" s="49" t="s">
        <v>460</v>
      </c>
      <c r="I51" s="49" t="s">
        <v>425</v>
      </c>
    </row>
    <row r="52" customFormat="false" ht="15" hidden="false" customHeight="true" outlineLevel="0" collapsed="false">
      <c r="A52" s="38" t="n">
        <v>48</v>
      </c>
      <c r="B52" s="49" t="s">
        <v>486</v>
      </c>
      <c r="C52" s="49" t="s">
        <v>487</v>
      </c>
      <c r="D52" s="49" t="s">
        <v>412</v>
      </c>
      <c r="E52" s="50" t="n">
        <v>46127</v>
      </c>
      <c r="F52" s="50"/>
      <c r="G52" s="49" t="s">
        <v>412</v>
      </c>
      <c r="H52" s="49" t="s">
        <v>460</v>
      </c>
      <c r="I52" s="49" t="s">
        <v>425</v>
      </c>
    </row>
    <row r="53" customFormat="false" ht="23.25" hidden="false" customHeight="true" outlineLevel="0" collapsed="false">
      <c r="A53" s="38" t="n">
        <v>49</v>
      </c>
      <c r="B53" s="49" t="s">
        <v>488</v>
      </c>
      <c r="C53" s="49" t="s">
        <v>489</v>
      </c>
      <c r="D53" s="49" t="s">
        <v>387</v>
      </c>
      <c r="E53" s="50" t="n">
        <v>46174</v>
      </c>
      <c r="F53" s="50"/>
      <c r="G53" s="49" t="s">
        <v>490</v>
      </c>
      <c r="H53" s="49" t="s">
        <v>379</v>
      </c>
      <c r="I53" s="49" t="s">
        <v>491</v>
      </c>
    </row>
    <row r="54" customFormat="false" ht="23.25" hidden="false" customHeight="true" outlineLevel="0" collapsed="false">
      <c r="A54" s="38" t="n">
        <v>50</v>
      </c>
      <c r="B54" s="49" t="s">
        <v>266</v>
      </c>
      <c r="C54" s="49" t="s">
        <v>492</v>
      </c>
      <c r="D54" s="49" t="s">
        <v>387</v>
      </c>
      <c r="E54" s="50" t="n">
        <v>46174</v>
      </c>
      <c r="F54" s="50"/>
      <c r="G54" s="49" t="s">
        <v>493</v>
      </c>
      <c r="H54" s="49" t="s">
        <v>379</v>
      </c>
      <c r="I54" s="49" t="s">
        <v>491</v>
      </c>
    </row>
    <row r="55" customFormat="false" ht="23.25" hidden="false" customHeight="true" outlineLevel="0" collapsed="false">
      <c r="A55" s="38" t="n">
        <v>51</v>
      </c>
      <c r="B55" s="49" t="s">
        <v>494</v>
      </c>
      <c r="C55" s="49" t="s">
        <v>495</v>
      </c>
      <c r="D55" s="49" t="s">
        <v>496</v>
      </c>
      <c r="E55" s="50" t="n">
        <v>46168</v>
      </c>
      <c r="F55" s="50"/>
      <c r="G55" s="49" t="s">
        <v>412</v>
      </c>
      <c r="H55" s="49" t="s">
        <v>217</v>
      </c>
      <c r="I55" s="49" t="s">
        <v>497</v>
      </c>
    </row>
    <row r="56" customFormat="false" ht="15" hidden="false" customHeight="true" outlineLevel="0" collapsed="false">
      <c r="A56" s="38" t="n">
        <v>52</v>
      </c>
      <c r="B56" s="49" t="s">
        <v>498</v>
      </c>
      <c r="C56" s="49" t="s">
        <v>499</v>
      </c>
      <c r="D56" s="49" t="s">
        <v>500</v>
      </c>
      <c r="E56" s="50" t="n">
        <v>46168</v>
      </c>
      <c r="F56" s="50"/>
      <c r="G56" s="49" t="s">
        <v>412</v>
      </c>
      <c r="H56" s="49" t="s">
        <v>445</v>
      </c>
      <c r="I56" s="49" t="s">
        <v>497</v>
      </c>
    </row>
    <row r="57" customFormat="false" ht="23.25" hidden="false" customHeight="true" outlineLevel="0" collapsed="false">
      <c r="A57" s="38" t="n">
        <v>53</v>
      </c>
      <c r="B57" s="49" t="s">
        <v>501</v>
      </c>
      <c r="C57" s="49" t="s">
        <v>502</v>
      </c>
      <c r="D57" s="49" t="s">
        <v>412</v>
      </c>
      <c r="E57" s="50" t="n">
        <v>46160</v>
      </c>
      <c r="F57" s="50"/>
      <c r="G57" s="49" t="s">
        <v>412</v>
      </c>
      <c r="H57" s="49" t="s">
        <v>460</v>
      </c>
      <c r="I57" s="49" t="s">
        <v>503</v>
      </c>
    </row>
    <row r="58" customFormat="false" ht="15" hidden="false" customHeight="true" outlineLevel="0" collapsed="false">
      <c r="A58" s="38" t="n">
        <v>54</v>
      </c>
      <c r="B58" s="49" t="s">
        <v>259</v>
      </c>
      <c r="C58" s="49" t="s">
        <v>504</v>
      </c>
      <c r="D58" s="49" t="s">
        <v>412</v>
      </c>
      <c r="E58" s="50" t="n">
        <v>46171</v>
      </c>
      <c r="F58" s="50"/>
      <c r="G58" s="49" t="s">
        <v>412</v>
      </c>
      <c r="H58" s="49" t="s">
        <v>460</v>
      </c>
      <c r="I58" s="49" t="s">
        <v>505</v>
      </c>
    </row>
    <row r="59" customFormat="false" ht="15" hidden="false" customHeight="true" outlineLevel="0" collapsed="false">
      <c r="A59" s="38" t="n">
        <v>55</v>
      </c>
      <c r="B59" s="49" t="s">
        <v>261</v>
      </c>
      <c r="C59" s="49" t="s">
        <v>506</v>
      </c>
      <c r="D59" s="49" t="s">
        <v>412</v>
      </c>
      <c r="E59" s="50" t="n">
        <v>46171</v>
      </c>
      <c r="F59" s="50"/>
      <c r="G59" s="49" t="s">
        <v>412</v>
      </c>
      <c r="H59" s="49" t="s">
        <v>460</v>
      </c>
      <c r="I59" s="49" t="s">
        <v>505</v>
      </c>
    </row>
    <row r="60" customFormat="false" ht="15" hidden="false" customHeight="true" outlineLevel="0" collapsed="false">
      <c r="A60" s="38" t="n">
        <v>56</v>
      </c>
      <c r="B60" s="49" t="s">
        <v>507</v>
      </c>
      <c r="C60" s="49" t="s">
        <v>508</v>
      </c>
      <c r="D60" s="49" t="s">
        <v>412</v>
      </c>
      <c r="E60" s="50" t="n">
        <v>46174</v>
      </c>
      <c r="F60" s="50"/>
      <c r="G60" s="49" t="s">
        <v>412</v>
      </c>
      <c r="H60" s="49" t="s">
        <v>460</v>
      </c>
      <c r="I60" s="49" t="s">
        <v>491</v>
      </c>
    </row>
    <row r="61" customFormat="false" ht="15" hidden="false" customHeight="true" outlineLevel="0" collapsed="false">
      <c r="A61" s="38" t="n">
        <v>57</v>
      </c>
      <c r="B61" s="49" t="s">
        <v>266</v>
      </c>
      <c r="C61" s="49" t="s">
        <v>509</v>
      </c>
      <c r="D61" s="49" t="s">
        <v>387</v>
      </c>
      <c r="E61" s="50" t="n">
        <v>46174</v>
      </c>
      <c r="F61" s="50"/>
      <c r="G61" s="49" t="s">
        <v>510</v>
      </c>
      <c r="H61" s="49" t="s">
        <v>379</v>
      </c>
      <c r="I61" s="49" t="s">
        <v>491</v>
      </c>
    </row>
    <row r="62" customFormat="false" ht="15" hidden="false" customHeight="true" outlineLevel="0" collapsed="false">
      <c r="A62" s="38" t="n">
        <v>58</v>
      </c>
      <c r="B62" s="49" t="s">
        <v>263</v>
      </c>
      <c r="C62" s="49" t="s">
        <v>489</v>
      </c>
      <c r="D62" s="49" t="s">
        <v>387</v>
      </c>
      <c r="E62" s="50" t="n">
        <v>46174</v>
      </c>
      <c r="F62" s="50"/>
      <c r="G62" s="49" t="s">
        <v>511</v>
      </c>
      <c r="H62" s="49" t="s">
        <v>379</v>
      </c>
      <c r="I62" s="49" t="s">
        <v>491</v>
      </c>
    </row>
    <row r="63" customFormat="false" ht="15" hidden="false" customHeight="true" outlineLevel="0" collapsed="false">
      <c r="A63" s="38" t="n">
        <v>59</v>
      </c>
      <c r="B63" s="49" t="s">
        <v>512</v>
      </c>
      <c r="C63" s="49" t="s">
        <v>513</v>
      </c>
      <c r="D63" s="49" t="s">
        <v>514</v>
      </c>
      <c r="E63" s="50" t="n">
        <v>46176</v>
      </c>
      <c r="F63" s="50"/>
      <c r="G63" s="49" t="s">
        <v>515</v>
      </c>
      <c r="H63" s="49" t="s">
        <v>460</v>
      </c>
      <c r="I63" s="49" t="s">
        <v>516</v>
      </c>
    </row>
    <row r="64" customFormat="false" ht="15" hidden="false" customHeight="true" outlineLevel="0" collapsed="false">
      <c r="A64" s="38" t="n">
        <v>60</v>
      </c>
      <c r="B64" s="49" t="s">
        <v>517</v>
      </c>
      <c r="C64" s="49" t="s">
        <v>518</v>
      </c>
      <c r="D64" s="49" t="s">
        <v>519</v>
      </c>
      <c r="E64" s="50" t="n">
        <v>46176</v>
      </c>
      <c r="F64" s="50"/>
      <c r="G64" s="49" t="s">
        <v>520</v>
      </c>
      <c r="H64" s="49" t="s">
        <v>460</v>
      </c>
      <c r="I64" s="49" t="s">
        <v>516</v>
      </c>
    </row>
    <row r="65" customFormat="false" ht="15" hidden="false" customHeight="true" outlineLevel="0" collapsed="false">
      <c r="A65" s="38" t="n">
        <v>61</v>
      </c>
      <c r="B65" s="49" t="s">
        <v>271</v>
      </c>
      <c r="C65" s="49" t="s">
        <v>521</v>
      </c>
      <c r="D65" s="49" t="s">
        <v>522</v>
      </c>
      <c r="E65" s="50" t="n">
        <v>46178</v>
      </c>
      <c r="F65" s="50"/>
      <c r="G65" s="49" t="s">
        <v>523</v>
      </c>
      <c r="H65" s="49" t="s">
        <v>460</v>
      </c>
      <c r="I65" s="49" t="s">
        <v>524</v>
      </c>
    </row>
    <row r="66" customFormat="false" ht="23.25" hidden="false" customHeight="true" outlineLevel="0" collapsed="false">
      <c r="A66" s="38" t="n">
        <v>62</v>
      </c>
      <c r="B66" s="49" t="s">
        <v>525</v>
      </c>
      <c r="C66" s="49" t="s">
        <v>526</v>
      </c>
      <c r="D66" s="49" t="s">
        <v>527</v>
      </c>
      <c r="E66" s="50" t="n">
        <v>46210</v>
      </c>
      <c r="F66" s="50"/>
      <c r="G66" s="49" t="s">
        <v>528</v>
      </c>
      <c r="H66" s="49" t="s">
        <v>529</v>
      </c>
      <c r="I66" s="49" t="s">
        <v>530</v>
      </c>
    </row>
    <row r="67" customFormat="false" ht="23.25" hidden="false" customHeight="true" outlineLevel="0" collapsed="false">
      <c r="A67" s="38" t="n">
        <v>63</v>
      </c>
      <c r="B67" s="49" t="s">
        <v>531</v>
      </c>
      <c r="C67" s="49" t="s">
        <v>532</v>
      </c>
      <c r="D67" s="49" t="s">
        <v>412</v>
      </c>
      <c r="E67" s="50" t="n">
        <v>46210</v>
      </c>
      <c r="F67" s="50" t="n">
        <v>46208</v>
      </c>
      <c r="G67" s="49" t="s">
        <v>533</v>
      </c>
      <c r="H67" s="49" t="s">
        <v>529</v>
      </c>
      <c r="I67" s="49" t="s">
        <v>530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534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535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102</v>
      </c>
      <c r="B4" s="13" t="s">
        <v>536</v>
      </c>
      <c r="C4" s="13" t="s">
        <v>537</v>
      </c>
      <c r="D4" s="13" t="s">
        <v>372</v>
      </c>
      <c r="E4" s="13" t="s">
        <v>538</v>
      </c>
      <c r="F4" s="13" t="s">
        <v>356</v>
      </c>
      <c r="G4" s="13" t="s">
        <v>539</v>
      </c>
    </row>
    <row r="5" customFormat="false" ht="1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46129</v>
      </c>
      <c r="E5" s="49" t="s">
        <v>540</v>
      </c>
      <c r="F5" s="49" t="s">
        <v>541</v>
      </c>
      <c r="G5" s="49" t="s">
        <v>460</v>
      </c>
    </row>
    <row r="6" customFormat="false" ht="23.25" hidden="false" customHeight="true" outlineLevel="0" collapsed="false">
      <c r="A6" s="38" t="n">
        <v>2</v>
      </c>
      <c r="B6" s="49" t="s">
        <v>542</v>
      </c>
      <c r="C6" s="49" t="s">
        <v>465</v>
      </c>
      <c r="D6" s="50" t="n">
        <v>46127</v>
      </c>
      <c r="E6" s="49" t="s">
        <v>543</v>
      </c>
      <c r="F6" s="49" t="s">
        <v>541</v>
      </c>
      <c r="G6" s="49" t="s">
        <v>460</v>
      </c>
    </row>
    <row r="7" customFormat="false" ht="15" hidden="false" customHeight="true" outlineLevel="0" collapsed="false">
      <c r="A7" s="38" t="n">
        <v>3</v>
      </c>
      <c r="B7" s="49" t="s">
        <v>482</v>
      </c>
      <c r="C7" s="49" t="s">
        <v>483</v>
      </c>
      <c r="D7" s="50" t="n">
        <v>46127</v>
      </c>
      <c r="E7" s="49" t="s">
        <v>544</v>
      </c>
      <c r="F7" s="49" t="s">
        <v>541</v>
      </c>
      <c r="G7" s="49" t="s">
        <v>460</v>
      </c>
    </row>
    <row r="8" customFormat="false" ht="15" hidden="false" customHeight="true" outlineLevel="0" collapsed="false">
      <c r="A8" s="38" t="n">
        <v>4</v>
      </c>
      <c r="B8" s="49" t="s">
        <v>468</v>
      </c>
      <c r="C8" s="49" t="s">
        <v>469</v>
      </c>
      <c r="D8" s="50" t="n">
        <v>46127</v>
      </c>
      <c r="E8" s="49" t="s">
        <v>545</v>
      </c>
      <c r="F8" s="49" t="s">
        <v>541</v>
      </c>
      <c r="G8" s="49" t="s">
        <v>460</v>
      </c>
    </row>
    <row r="9" customFormat="false" ht="23.25" hidden="false" customHeight="true" outlineLevel="0" collapsed="false">
      <c r="A9" s="38" t="n">
        <v>5</v>
      </c>
      <c r="B9" s="49" t="s">
        <v>484</v>
      </c>
      <c r="C9" s="49" t="s">
        <v>485</v>
      </c>
      <c r="D9" s="50" t="n">
        <v>46127</v>
      </c>
      <c r="E9" s="49" t="s">
        <v>546</v>
      </c>
      <c r="F9" s="49" t="s">
        <v>541</v>
      </c>
      <c r="G9" s="49" t="s">
        <v>460</v>
      </c>
    </row>
    <row r="10" customFormat="false" ht="15" hidden="false" customHeight="true" outlineLevel="0" collapsed="false">
      <c r="A10" s="38" t="n">
        <v>6</v>
      </c>
      <c r="B10" s="49" t="s">
        <v>486</v>
      </c>
      <c r="C10" s="49" t="s">
        <v>487</v>
      </c>
      <c r="D10" s="50" t="n">
        <v>46127</v>
      </c>
      <c r="E10" s="49" t="s">
        <v>547</v>
      </c>
      <c r="F10" s="49" t="s">
        <v>541</v>
      </c>
      <c r="G10" s="49" t="s">
        <v>460</v>
      </c>
    </row>
    <row r="11" customFormat="false" ht="15" hidden="false" customHeight="true" outlineLevel="0" collapsed="false">
      <c r="A11" s="38" t="n">
        <v>7</v>
      </c>
      <c r="B11" s="49" t="s">
        <v>422</v>
      </c>
      <c r="C11" s="49" t="s">
        <v>423</v>
      </c>
      <c r="D11" s="50" t="n">
        <v>46127</v>
      </c>
      <c r="E11" s="49" t="s">
        <v>548</v>
      </c>
      <c r="F11" s="49" t="s">
        <v>541</v>
      </c>
      <c r="G11" s="49" t="s">
        <v>379</v>
      </c>
    </row>
    <row r="12" customFormat="false" ht="15" hidden="false" customHeight="true" outlineLevel="0" collapsed="false">
      <c r="A12" s="38" t="n">
        <v>8</v>
      </c>
      <c r="B12" s="49" t="s">
        <v>186</v>
      </c>
      <c r="C12" s="49" t="s">
        <v>432</v>
      </c>
      <c r="D12" s="50" t="n">
        <v>46139</v>
      </c>
      <c r="E12" s="49" t="s">
        <v>549</v>
      </c>
      <c r="F12" s="49" t="s">
        <v>541</v>
      </c>
      <c r="G12" s="49" t="s">
        <v>217</v>
      </c>
    </row>
    <row r="13" customFormat="false" ht="15" hidden="false" customHeight="true" outlineLevel="0" collapsed="false">
      <c r="A13" s="38" t="n">
        <v>9</v>
      </c>
      <c r="B13" s="49" t="s">
        <v>480</v>
      </c>
      <c r="C13" s="49" t="s">
        <v>481</v>
      </c>
      <c r="D13" s="50" t="n">
        <v>46140</v>
      </c>
      <c r="E13" s="49" t="s">
        <v>550</v>
      </c>
      <c r="F13" s="49" t="s">
        <v>541</v>
      </c>
      <c r="G13" s="49" t="s">
        <v>460</v>
      </c>
    </row>
    <row r="14" customFormat="false" ht="15" hidden="false" customHeight="true" outlineLevel="0" collapsed="false">
      <c r="A14" s="38" t="n">
        <v>10</v>
      </c>
      <c r="B14" s="49" t="s">
        <v>551</v>
      </c>
      <c r="C14" s="49" t="s">
        <v>402</v>
      </c>
      <c r="D14" s="50" t="n">
        <v>46141</v>
      </c>
      <c r="E14" s="49" t="s">
        <v>552</v>
      </c>
      <c r="F14" s="49" t="s">
        <v>541</v>
      </c>
      <c r="G14" s="49" t="s">
        <v>379</v>
      </c>
    </row>
    <row r="15" customFormat="false" ht="23.25" hidden="false" customHeight="true" outlineLevel="0" collapsed="false">
      <c r="A15" s="38" t="n">
        <v>11</v>
      </c>
      <c r="B15" s="49" t="s">
        <v>196</v>
      </c>
      <c r="C15" s="49" t="s">
        <v>430</v>
      </c>
      <c r="D15" s="50" t="n">
        <v>46141</v>
      </c>
      <c r="E15" s="49" t="s">
        <v>553</v>
      </c>
      <c r="F15" s="49" t="s">
        <v>541</v>
      </c>
      <c r="G15" s="49" t="s">
        <v>217</v>
      </c>
    </row>
    <row r="16" customFormat="false" ht="23.25" hidden="false" customHeight="true" outlineLevel="0" collapsed="false">
      <c r="A16" s="38" t="n">
        <v>12</v>
      </c>
      <c r="B16" s="49" t="s">
        <v>554</v>
      </c>
      <c r="C16" s="49" t="s">
        <v>405</v>
      </c>
      <c r="D16" s="50" t="n">
        <v>46142</v>
      </c>
      <c r="E16" s="49" t="s">
        <v>555</v>
      </c>
      <c r="F16" s="49" t="s">
        <v>541</v>
      </c>
      <c r="G16" s="49" t="s">
        <v>379</v>
      </c>
    </row>
    <row r="17" customFormat="false" ht="23.25" hidden="false" customHeight="true" outlineLevel="0" collapsed="false">
      <c r="A17" s="38" t="n">
        <v>13</v>
      </c>
      <c r="B17" s="49" t="s">
        <v>176</v>
      </c>
      <c r="C17" s="49" t="s">
        <v>435</v>
      </c>
      <c r="D17" s="50" t="n">
        <v>46142</v>
      </c>
      <c r="E17" s="49" t="s">
        <v>556</v>
      </c>
      <c r="F17" s="49" t="s">
        <v>541</v>
      </c>
      <c r="G17" s="49" t="s">
        <v>217</v>
      </c>
    </row>
    <row r="18" customFormat="false" ht="23.25" hidden="false" customHeight="true" outlineLevel="0" collapsed="false">
      <c r="A18" s="38" t="n">
        <v>14</v>
      </c>
      <c r="B18" s="49" t="s">
        <v>210</v>
      </c>
      <c r="C18" s="49" t="s">
        <v>449</v>
      </c>
      <c r="D18" s="50" t="n">
        <v>46146</v>
      </c>
      <c r="E18" s="49" t="s">
        <v>557</v>
      </c>
      <c r="F18" s="49" t="s">
        <v>541</v>
      </c>
      <c r="G18" s="49" t="s">
        <v>445</v>
      </c>
    </row>
    <row r="19" customFormat="false" ht="15" hidden="false" customHeight="true" outlineLevel="0" collapsed="false">
      <c r="A19" s="38" t="n">
        <v>15</v>
      </c>
      <c r="B19" s="49" t="s">
        <v>183</v>
      </c>
      <c r="C19" s="49" t="s">
        <v>396</v>
      </c>
      <c r="D19" s="50" t="n">
        <v>46148</v>
      </c>
      <c r="E19" s="49" t="s">
        <v>558</v>
      </c>
      <c r="F19" s="49" t="s">
        <v>541</v>
      </c>
      <c r="G19" s="49" t="s">
        <v>379</v>
      </c>
    </row>
    <row r="20" customFormat="false" ht="15" hidden="false" customHeight="true" outlineLevel="0" collapsed="false">
      <c r="A20" s="38" t="n">
        <v>16</v>
      </c>
      <c r="B20" s="49" t="s">
        <v>559</v>
      </c>
      <c r="C20" s="49" t="s">
        <v>410</v>
      </c>
      <c r="D20" s="50" t="n">
        <v>46148</v>
      </c>
      <c r="E20" s="49" t="s">
        <v>560</v>
      </c>
      <c r="F20" s="49" t="s">
        <v>541</v>
      </c>
      <c r="G20" s="49" t="s">
        <v>379</v>
      </c>
    </row>
    <row r="21" customFormat="false" ht="23.25" hidden="false" customHeight="true" outlineLevel="0" collapsed="false">
      <c r="A21" s="38" t="n">
        <v>17</v>
      </c>
      <c r="B21" s="49" t="s">
        <v>194</v>
      </c>
      <c r="C21" s="49" t="s">
        <v>399</v>
      </c>
      <c r="D21" s="50" t="n">
        <v>46148</v>
      </c>
      <c r="E21" s="49" t="s">
        <v>561</v>
      </c>
      <c r="F21" s="49" t="s">
        <v>541</v>
      </c>
      <c r="G21" s="49" t="s">
        <v>379</v>
      </c>
    </row>
    <row r="22" customFormat="false" ht="15" hidden="false" customHeight="true" outlineLevel="0" collapsed="false">
      <c r="A22" s="38" t="n">
        <v>18</v>
      </c>
      <c r="B22" s="49" t="s">
        <v>188</v>
      </c>
      <c r="C22" s="49" t="s">
        <v>451</v>
      </c>
      <c r="D22" s="50" t="n">
        <v>46159</v>
      </c>
      <c r="E22" s="49" t="s">
        <v>562</v>
      </c>
      <c r="F22" s="49" t="s">
        <v>541</v>
      </c>
      <c r="G22" s="49" t="s">
        <v>445</v>
      </c>
    </row>
    <row r="23" customFormat="false" ht="15" hidden="false" customHeight="true" outlineLevel="0" collapsed="false">
      <c r="A23" s="38" t="n">
        <v>19</v>
      </c>
      <c r="B23" s="49" t="s">
        <v>245</v>
      </c>
      <c r="C23" s="49" t="s">
        <v>563</v>
      </c>
      <c r="D23" s="50" t="n">
        <v>46162</v>
      </c>
      <c r="E23" s="49" t="s">
        <v>564</v>
      </c>
      <c r="F23" s="49" t="s">
        <v>541</v>
      </c>
      <c r="G23" s="49" t="s">
        <v>217</v>
      </c>
    </row>
    <row r="24" customFormat="false" ht="15" hidden="false" customHeight="true" outlineLevel="0" collapsed="false">
      <c r="A24" s="38" t="n">
        <v>20</v>
      </c>
      <c r="B24" s="49" t="s">
        <v>565</v>
      </c>
      <c r="C24" s="49"/>
      <c r="D24" s="50" t="n">
        <v>46209</v>
      </c>
      <c r="E24" s="49" t="s">
        <v>566</v>
      </c>
      <c r="F24" s="49" t="s">
        <v>541</v>
      </c>
      <c r="G24" s="49"/>
    </row>
    <row r="25" customFormat="false" ht="15" hidden="false" customHeight="true" outlineLevel="0" collapsed="false">
      <c r="A25" s="38" t="n">
        <v>21</v>
      </c>
      <c r="B25" s="49" t="s">
        <v>531</v>
      </c>
      <c r="C25" s="49" t="s">
        <v>567</v>
      </c>
      <c r="D25" s="50" t="n">
        <v>46208</v>
      </c>
      <c r="E25" s="49" t="s">
        <v>568</v>
      </c>
      <c r="F25" s="49" t="s">
        <v>541</v>
      </c>
      <c r="G25" s="49"/>
    </row>
    <row r="26" customFormat="false" ht="15" hidden="false" customHeight="true" outlineLevel="0" collapsed="false">
      <c r="A26" s="38" t="n">
        <v>22</v>
      </c>
      <c r="B26" s="49" t="s">
        <v>569</v>
      </c>
      <c r="C26" s="49" t="s">
        <v>399</v>
      </c>
      <c r="D26" s="50" t="n">
        <v>46163</v>
      </c>
      <c r="E26" s="49" t="s">
        <v>570</v>
      </c>
      <c r="F26" s="49" t="s">
        <v>541</v>
      </c>
      <c r="G26" s="49" t="s">
        <v>379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571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572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102</v>
      </c>
      <c r="B4" s="13" t="s">
        <v>573</v>
      </c>
      <c r="C4" s="13" t="s">
        <v>537</v>
      </c>
      <c r="D4" s="13" t="s">
        <v>144</v>
      </c>
      <c r="E4" s="13" t="s">
        <v>574</v>
      </c>
      <c r="F4" s="13" t="s">
        <v>538</v>
      </c>
      <c r="G4" s="13" t="s">
        <v>356</v>
      </c>
      <c r="H4" s="13" t="s">
        <v>89</v>
      </c>
    </row>
    <row r="5" customFormat="false" ht="23.25" hidden="false" customHeight="true" outlineLevel="0" collapsed="false">
      <c r="A5" s="38" t="n">
        <v>1</v>
      </c>
      <c r="B5" s="49" t="s">
        <v>163</v>
      </c>
      <c r="C5" s="49" t="s">
        <v>463</v>
      </c>
      <c r="D5" s="50" t="n">
        <v>46159</v>
      </c>
      <c r="E5" s="49" t="s">
        <v>575</v>
      </c>
      <c r="F5" s="49" t="s">
        <v>576</v>
      </c>
      <c r="G5" s="49" t="s">
        <v>541</v>
      </c>
      <c r="H5" s="49" t="s">
        <v>577</v>
      </c>
    </row>
    <row r="6" customFormat="false" ht="23.25" hidden="false" customHeight="true" outlineLevel="0" collapsed="false">
      <c r="A6" s="38" t="n">
        <v>2</v>
      </c>
      <c r="B6" s="49" t="s">
        <v>578</v>
      </c>
      <c r="C6" s="49" t="s">
        <v>412</v>
      </c>
      <c r="D6" s="50"/>
      <c r="E6" s="49" t="s">
        <v>579</v>
      </c>
      <c r="F6" s="49" t="s">
        <v>580</v>
      </c>
      <c r="G6" s="49" t="s">
        <v>581</v>
      </c>
      <c r="H6" s="49" t="s">
        <v>582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2026-07-21T12:45:31Z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