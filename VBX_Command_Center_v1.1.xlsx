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Dashboard" sheetId="1" state="visible" r:id="rId1"/>
    <sheet name="Targets" sheetId="2" state="visible" r:id="rId2"/>
    <sheet name="Metrics_Period" sheetId="3" state="visible" r:id="rId3"/>
    <sheet name="Revenue_Ledger" sheetId="4" state="visible" r:id="rId4"/>
    <sheet name="Expense_Ledger" sheetId="5" state="visible" r:id="rId5"/>
    <sheet name="Meetings" sheetId="6" state="visible" r:id="rId6"/>
    <sheet name="Pipeline" sheetId="7" state="visible" r:id="rId7"/>
    <sheet name="Opportunity_Detail" sheetId="8" state="visible" r:id="rId8"/>
    <sheet name="Active_Projects" sheetId="9" state="visible" r:id="rId9"/>
    <sheet name="Feedback" sheetId="10" state="visible" r:id="rId10"/>
    <sheet name="Screenings" sheetId="11" state="visible" r:id="rId11"/>
    <sheet name="NDAs" sheetId="12" state="visible" r:id="rId12"/>
    <sheet name="Agreements" sheetId="13" state="visible" r:id="rId13"/>
    <sheet name="Actions" sheetId="14" state="visible" r:id="rId14"/>
  </sheets>
  <definedNames>
    <definedName name="As_Of_Date" hidden="0" function="0" vbProcedure="0">Dashboard!$C$4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mm/dd/yyyy"/>
    <numFmt numFmtId="165" formatCode="\$#,##0;&quot;($&quot;#,##0\);\-"/>
    <numFmt numFmtId="166" formatCode="#,##0;\(#,##0\);\-"/>
    <numFmt numFmtId="167" formatCode="0.0%;\(0.0%\);\-"/>
    <numFmt numFmtId="168" formatCode="\$#,##0"/>
  </numFmts>
  <fonts count="2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i val="1"/>
      <color rgb="FF232D5A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232D5A"/>
      <sz val="11"/>
    </font>
    <font>
      <name val="Arial"/>
      <charset val="1"/>
      <family val="0"/>
      <i val="1"/>
      <color rgb="FF232D5A"/>
      <sz val="10"/>
    </font>
    <font>
      <name val="Arial"/>
      <charset val="1"/>
      <family val="0"/>
      <b val="1"/>
      <color rgb="FF232D5A"/>
      <sz val="12"/>
    </font>
    <font>
      <name val="Arial"/>
      <charset val="1"/>
      <family val="0"/>
      <b val="1"/>
      <color rgb="FF008000"/>
      <sz val="14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8000"/>
      <sz val="10"/>
    </font>
    <font>
      <name val="Arial"/>
      <charset val="1"/>
      <family val="0"/>
      <i val="1"/>
      <color rgb="FFB71C1C"/>
      <sz val="9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i val="1"/>
      <color rgb="FF2EA891"/>
      <sz val="10"/>
    </font>
    <font>
      <name val="Arial"/>
      <b val="1"/>
      <color rgb="FFFFFFFF"/>
      <sz val="14"/>
    </font>
    <font>
      <name val="Arial"/>
      <b val="1"/>
      <color rgb="FF232D5A"/>
      <sz val="10"/>
    </font>
    <font>
      <name val="Arial"/>
      <b val="1"/>
      <color rgb="FFFFFFFF"/>
      <sz val="11"/>
    </font>
    <font>
      <name val="Arial"/>
      <color rgb="FF0000FF"/>
      <sz val="10"/>
    </font>
    <font>
      <name val="Arial"/>
      <i val="1"/>
      <color rgb="FF232D5A"/>
      <sz val="10"/>
    </font>
  </fonts>
  <fills count="12">
    <fill>
      <patternFill/>
    </fill>
    <fill>
      <patternFill patternType="gray125"/>
    </fill>
    <fill>
      <patternFill patternType="solid">
        <fgColor rgb="FF232D5A"/>
        <bgColor rgb="FF003366"/>
      </patternFill>
    </fill>
    <fill>
      <patternFill patternType="solid">
        <fgColor rgb="FFFFFBEC"/>
        <bgColor rgb="FFFFF8E1"/>
      </patternFill>
    </fill>
    <fill>
      <patternFill patternType="solid">
        <fgColor rgb="FFF7B801"/>
        <bgColor rgb="FFFF9900"/>
      </patternFill>
    </fill>
    <fill>
      <patternFill patternType="solid">
        <fgColor rgb="FFF5F5F5"/>
        <bgColor rgb="FFE8F4F2"/>
      </patternFill>
    </fill>
    <fill>
      <patternFill patternType="solid">
        <fgColor rgb="FFFCE8E6"/>
        <bgColor rgb="FFFFF4D6"/>
      </patternFill>
    </fill>
    <fill>
      <patternFill patternType="solid">
        <fgColor rgb="FFFFF4D6"/>
        <bgColor rgb="FFFFF8E1"/>
      </patternFill>
    </fill>
    <fill>
      <patternFill patternType="solid">
        <fgColor rgb="FFFFF8E1"/>
        <bgColor rgb="FFFFFBEC"/>
      </patternFill>
    </fill>
    <fill>
      <patternFill patternType="solid">
        <fgColor rgb="FFE8F4F2"/>
        <bgColor rgb="FFE6F4EA"/>
      </patternFill>
    </fill>
    <fill>
      <patternFill patternType="solid">
        <fgColor rgb="FF232D5A"/>
      </patternFill>
    </fill>
    <fill>
      <patternFill patternType="solid">
        <fgColor rgb="FFFFFBEC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bottom style="thin">
        <color rgb="FFC8CDD7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right" vertical="center"/>
    </xf>
    <xf numFmtId="164" fontId="7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10" fillId="6" borderId="1" applyAlignment="1" pivotButton="0" quotePrefix="0" xfId="0">
      <alignment horizontal="center" vertical="center" wrapText="1"/>
    </xf>
    <xf numFmtId="165" fontId="10" fillId="7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6" fontId="12" fillId="0" borderId="1" applyAlignment="1" pivotButton="0" quotePrefix="0" xfId="0">
      <alignment horizontal="center" vertical="center" wrapText="1"/>
    </xf>
    <xf numFmtId="167" fontId="12" fillId="0" borderId="1" applyAlignment="1" pivotButton="0" quotePrefix="0" xfId="0">
      <alignment horizontal="center" vertical="center" wrapText="1"/>
    </xf>
    <xf numFmtId="165" fontId="12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165" fontId="12" fillId="3" borderId="1" applyAlignment="1" pivotButton="0" quotePrefix="0" xfId="0">
      <alignment horizontal="center" vertical="center" wrapText="1"/>
    </xf>
    <xf numFmtId="167" fontId="12" fillId="3" borderId="1" applyAlignment="1" pivotButton="0" quotePrefix="0" xfId="0">
      <alignment horizontal="center" vertical="center" wrapText="1"/>
    </xf>
    <xf numFmtId="0" fontId="13" fillId="8" borderId="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 wrapText="1"/>
    </xf>
    <xf numFmtId="165" fontId="15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right" vertical="center"/>
    </xf>
    <xf numFmtId="165" fontId="12" fillId="6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3" fontId="15" fillId="0" borderId="1" applyAlignment="1" pivotButton="0" quotePrefix="0" xfId="0">
      <alignment horizontal="center" vertical="center" wrapText="1"/>
    </xf>
    <xf numFmtId="3" fontId="1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16" fillId="9" borderId="0" applyAlignment="1" pivotButton="0" quotePrefix="0" xfId="0">
      <alignment horizontal="left" vertical="center" indent="1"/>
    </xf>
    <xf numFmtId="0" fontId="14" fillId="0" borderId="1" applyAlignment="1" pivotButton="0" quotePrefix="0" xfId="0">
      <alignment horizontal="center" vertical="center" wrapText="1"/>
    </xf>
    <xf numFmtId="166" fontId="14" fillId="0" borderId="1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165" fontId="14" fillId="0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168" fontId="15" fillId="0" borderId="1" applyAlignment="1" pivotButton="0" quotePrefix="0" xfId="0">
      <alignment horizontal="general" vertical="bottom"/>
    </xf>
    <xf numFmtId="167" fontId="15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right" vertical="center"/>
    </xf>
    <xf numFmtId="164" fontId="7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10" fillId="6" borderId="1" applyAlignment="1" pivotButton="0" quotePrefix="0" xfId="0">
      <alignment horizontal="center" vertical="center" wrapText="1"/>
    </xf>
    <xf numFmtId="165" fontId="10" fillId="7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6" fontId="12" fillId="0" borderId="1" applyAlignment="1" pivotButton="0" quotePrefix="0" xfId="0">
      <alignment horizontal="center" vertical="center" wrapText="1"/>
    </xf>
    <xf numFmtId="167" fontId="12" fillId="0" borderId="1" applyAlignment="1" pivotButton="0" quotePrefix="0" xfId="0">
      <alignment horizontal="center" vertical="center" wrapText="1"/>
    </xf>
    <xf numFmtId="165" fontId="12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165" fontId="12" fillId="3" borderId="1" applyAlignment="1" pivotButton="0" quotePrefix="0" xfId="0">
      <alignment horizontal="center" vertical="center" wrapText="1"/>
    </xf>
    <xf numFmtId="167" fontId="12" fillId="3" borderId="1" applyAlignment="1" pivotButton="0" quotePrefix="0" xfId="0">
      <alignment horizontal="center" vertical="center" wrapText="1"/>
    </xf>
    <xf numFmtId="0" fontId="13" fillId="8" borderId="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 wrapText="1"/>
    </xf>
    <xf numFmtId="165" fontId="15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right" vertical="center"/>
    </xf>
    <xf numFmtId="165" fontId="12" fillId="6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3" fontId="15" fillId="0" borderId="1" applyAlignment="1" pivotButton="0" quotePrefix="0" xfId="0">
      <alignment horizontal="center" vertical="center" wrapText="1"/>
    </xf>
    <xf numFmtId="3" fontId="1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center" vertical="center" wrapText="1"/>
    </xf>
    <xf numFmtId="0" fontId="16" fillId="9" borderId="0" applyAlignment="1" pivotButton="0" quotePrefix="0" xfId="0">
      <alignment horizontal="left" vertical="center" indent="1"/>
    </xf>
    <xf numFmtId="0" fontId="14" fillId="0" borderId="1" applyAlignment="1" pivotButton="0" quotePrefix="0" xfId="0">
      <alignment horizontal="center" vertical="center" wrapText="1"/>
    </xf>
    <xf numFmtId="166" fontId="14" fillId="0" borderId="1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165" fontId="14" fillId="0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168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general" vertical="bottom"/>
    </xf>
    <xf numFmtId="167" fontId="15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  <xf numFmtId="0" fontId="17" fillId="10" borderId="0" applyAlignment="1" pivotButton="0" quotePrefix="0" xfId="0">
      <alignment horizontal="left"/>
    </xf>
    <xf numFmtId="0" fontId="0" fillId="10" borderId="0" pivotButton="0" quotePrefix="0" xfId="0"/>
    <xf numFmtId="0" fontId="18" fillId="11" borderId="0" applyAlignment="1" pivotButton="0" quotePrefix="0" xfId="0">
      <alignment horizontal="left"/>
    </xf>
    <xf numFmtId="0" fontId="0" fillId="11" borderId="0" pivotButton="0" quotePrefix="0" xfId="0"/>
    <xf numFmtId="0" fontId="19" fillId="10" borderId="0" applyAlignment="1" pivotButton="0" quotePrefix="0" xfId="0">
      <alignment horizontal="center" wrapText="1"/>
    </xf>
    <xf numFmtId="0" fontId="20" fillId="0" borderId="0" applyAlignment="1" pivotButton="0" quotePrefix="0" xfId="0">
      <alignment vertical="top"/>
    </xf>
    <xf numFmtId="0" fontId="20" fillId="0" borderId="0" applyAlignment="1" pivotButton="0" quotePrefix="0" xfId="0">
      <alignment vertical="top" wrapText="1"/>
    </xf>
    <xf numFmtId="164" fontId="20" fillId="0" borderId="0" applyAlignment="1" pivotButton="0" quotePrefix="0" xfId="0">
      <alignment vertical="top"/>
    </xf>
    <xf numFmtId="0" fontId="17" fillId="10" borderId="0" applyAlignment="1" pivotButton="0" quotePrefix="0" xfId="0">
      <alignment vertical="center"/>
    </xf>
    <xf numFmtId="0" fontId="21" fillId="11" borderId="0" applyAlignment="1" pivotButton="0" quotePrefix="0" xfId="0">
      <alignment vertical="center"/>
    </xf>
    <xf numFmtId="0" fontId="19" fillId="10" borderId="2" applyAlignment="1" pivotButton="0" quotePrefix="0" xfId="0">
      <alignment horizontal="center" vertical="center" wrapText="1"/>
    </xf>
    <xf numFmtId="164" fontId="2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>
          <bgColor rgb="FFFCE8E6"/>
        </patternFill>
      </fill>
    </dxf>
    <dxf>
      <fill>
        <patternFill>
          <bgColor rgb="FFE6F4EA"/>
        </patternFill>
      </fill>
    </dxf>
    <dxf>
      <fill>
        <patternFill>
          <bgColor rgb="FFC8E6C9"/>
        </patternFill>
      </fill>
    </dxf>
    <dxf>
      <fill>
        <patternFill>
          <bgColor rgb="FFFFF59D"/>
        </patternFill>
      </fill>
    </dxf>
    <dxf>
      <fill>
        <patternFill>
          <bgColor rgb="FFFFCCBC"/>
        </patternFill>
      </fill>
    </dxf>
    <dxf>
      <fill>
        <patternFill>
          <bgColor rgb="FFE0E0E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4D6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E6F4EA"/>
      <rgbColor rgb="FF660066"/>
      <rgbColor rgb="FFFF8080"/>
      <rgbColor rgb="FF0066CC"/>
      <rgbColor rgb="FFE0E0E0"/>
      <rgbColor rgb="FF000080"/>
      <rgbColor rgb="FFFF00FF"/>
      <rgbColor rgb="FFFFFBEC"/>
      <rgbColor rgb="FF00FFFF"/>
      <rgbColor rgb="FF800080"/>
      <rgbColor rgb="FF800000"/>
      <rgbColor rgb="FF008080"/>
      <rgbColor rgb="FF0000FF"/>
      <rgbColor rgb="FF00CCFF"/>
      <rgbColor rgb="FFE8F4F2"/>
      <rgbColor rgb="FFC8E6C9"/>
      <rgbColor rgb="FFFFF59D"/>
      <rgbColor rgb="FFB0BEC5"/>
      <rgbColor rgb="FFFCE8E6"/>
      <rgbColor rgb="FFF5F5F5"/>
      <rgbColor rgb="FFFFCCBC"/>
      <rgbColor rgb="FF3366FF"/>
      <rgbColor rgb="FF33CCCC"/>
      <rgbColor rgb="FF99CC00"/>
      <rgbColor rgb="FFF7B801"/>
      <rgbColor rgb="FFFF9900"/>
      <rgbColor rgb="FFFF6600"/>
      <rgbColor rgb="FF666699"/>
      <rgbColor rgb="FF90A4AE"/>
      <rgbColor rgb="FF003366"/>
      <rgbColor rgb="FF2EA891"/>
      <rgbColor rgb="FF003300"/>
      <rgbColor rgb="FF333300"/>
      <rgbColor rgb="FFB71C1C"/>
      <rgbColor rgb="FF993366"/>
      <rgbColor rgb="FF333399"/>
      <rgbColor rgb="FF232D5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32D5A"/>
    <outlinePr summaryBelow="1" summaryRight="1"/>
    <pageSetUpPr fitToPage="0"/>
  </sheetPr>
  <dimension ref="A1:J3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51" min="1" max="1"/>
    <col width="28" customWidth="1" style="51" min="2" max="2"/>
    <col width="18" customWidth="1" style="51" min="3" max="8"/>
    <col width="3" customWidth="1" style="51" min="9" max="9"/>
  </cols>
  <sheetData>
    <row r="1" ht="33.75" customHeight="1" s="52">
      <c r="A1" s="53" t="inlineStr">
        <is>
          <t xml:space="preserve">  VISIONBLOX COMMAND CENTER  |  CAGE 9Z4X2  |  UEI H4X2Z7R9E3E3</t>
        </is>
      </c>
    </row>
    <row r="2" ht="21.75" customHeight="1" s="52">
      <c r="A2" s="54" t="inlineStr">
        <is>
          <t xml:space="preserve">  Phase 0 — Operations &amp; Performance Dashboard  |  Updated daily  |  Source-of-truth: this workbook</t>
        </is>
      </c>
    </row>
    <row r="3"/>
    <row r="4" ht="15" customHeight="1" s="52">
      <c r="B4" s="55" t="inlineStr">
        <is>
          <t>As-of Date:</t>
        </is>
      </c>
      <c r="C4" s="56" t="n">
        <v>46247</v>
      </c>
      <c r="D4" s="57" t="inlineStr">
        <is>
          <t>← change this to view different snapshot</t>
        </is>
      </c>
    </row>
    <row r="5"/>
    <row r="6" ht="15" customHeight="1" s="52">
      <c r="B6" s="58" t="inlineStr">
        <is>
          <t>FINANCIAL REALITY</t>
        </is>
      </c>
    </row>
    <row r="7" ht="30" customHeight="1" s="52">
      <c r="C7" s="59" t="inlineStr">
        <is>
          <t>Year-1 ARR Target</t>
        </is>
      </c>
      <c r="D7" s="59" t="inlineStr">
        <is>
          <t>Revenue Booked YTD</t>
        </is>
      </c>
      <c r="E7" s="59" t="inlineStr">
        <is>
          <t>Run-Rate P/L (current)</t>
        </is>
      </c>
      <c r="F7" s="59" t="inlineStr">
        <is>
          <t>Gap to Break-Even</t>
        </is>
      </c>
      <c r="G7" s="59" t="inlineStr">
        <is>
          <t>Gap to ARR Target</t>
        </is>
      </c>
    </row>
    <row r="8" ht="36" customHeight="1" s="52">
      <c r="C8" s="60">
        <f>Targets!C5</f>
        <v/>
      </c>
      <c r="D8" s="60">
        <f>SUMIFS(Revenue_Ledger!E:E,Revenue_Ledger!A:A,"&gt;="&amp;DATE(YEAR(As_Of_Date),1,1),Revenue_Ledger!A:A,"&lt;="&amp;As_Of_Date)</f>
        <v/>
      </c>
      <c r="E8" s="61">
        <f>Targets!C12</f>
        <v/>
      </c>
      <c r="F8" s="62">
        <f>Targets!C13</f>
        <v/>
      </c>
      <c r="G8" s="62">
        <f>Targets!C14</f>
        <v/>
      </c>
    </row>
    <row r="9"/>
    <row r="10" ht="15" customHeight="1" s="52">
      <c r="B10" s="58" t="inlineStr">
        <is>
          <t>OPERATIONS</t>
        </is>
      </c>
    </row>
    <row r="11" ht="30" customHeight="1" s="52">
      <c r="C11" s="59" t="inlineStr">
        <is>
          <t>Active Pipeline (#)</t>
        </is>
      </c>
      <c r="D11" s="59" t="inlineStr">
        <is>
          <t>Active Pipeline ($)</t>
        </is>
      </c>
      <c r="E11" s="59" t="inlineStr">
        <is>
          <t>Active Projects</t>
        </is>
      </c>
      <c r="F11" s="59" t="inlineStr">
        <is>
          <t>NDAs Executed YTD</t>
        </is>
      </c>
      <c r="G11" s="59" t="inlineStr">
        <is>
          <t>Awards Won (#)</t>
        </is>
      </c>
      <c r="H11" s="59" t="inlineStr">
        <is>
          <t>Awarded TCV ($)</t>
        </is>
      </c>
    </row>
    <row r="12" ht="36" customHeight="1" s="52">
      <c r="C12" s="63">
        <f>SUMPRODUCT((Pipeline!E5:E1000&lt;&gt;"")*(Pipeline!E5:E1000&lt;&gt;"Awarded")*(Pipeline!E5:E1000&lt;&gt;"Lost")*(Pipeline!E5:E1000&lt;&gt;"No-Bid"))</f>
        <v/>
      </c>
      <c r="D12" s="60">
        <f>SUMIFS(Pipeline!F5:F1000,Pipeline!E5:E1000,"&lt;&gt;Awarded",Pipeline!E5:E1000,"&lt;&gt;Lost",Pipeline!E5:E1000,"&lt;&gt;No-Bid",Pipeline!E5:E1000,"&lt;&gt;")</f>
        <v/>
      </c>
      <c r="E12" s="63">
        <f>COUNTIFS(Active_Projects!H:H,"Active")</f>
        <v/>
      </c>
      <c r="F12" s="63">
        <f>COUNTIFS(NDAs!D:D,"&gt;="&amp;DATE(YEAR(As_Of_Date),1,1),NDAs!D:D,"&lt;="&amp;As_Of_Date)</f>
        <v/>
      </c>
      <c r="G12" s="63">
        <f>COUNTIF(Pipeline!E5:E1000,"Awarded")</f>
        <v/>
      </c>
      <c r="H12" s="60">
        <f>SUMIF(Pipeline!E5:E1000,"Awarded",Pipeline!F5:F1000)</f>
        <v/>
      </c>
    </row>
    <row r="13"/>
    <row r="14" ht="15" customHeight="1" s="52">
      <c r="B14" s="58" t="inlineStr">
        <is>
          <t>BD CADENCE  —  TRAILING WINDOWS</t>
        </is>
      </c>
    </row>
    <row r="15" ht="25.5" customHeight="1" s="52">
      <c r="B15" s="64" t="inlineStr">
        <is>
          <t>KPI</t>
        </is>
      </c>
      <c r="C15" s="64" t="inlineStr">
        <is>
          <t>T-7d</t>
        </is>
      </c>
      <c r="D15" s="64" t="inlineStr">
        <is>
          <t>Prior 7d</t>
        </is>
      </c>
      <c r="E15" s="64" t="inlineStr">
        <is>
          <t>WoW Δ%</t>
        </is>
      </c>
      <c r="F15" s="64" t="inlineStr">
        <is>
          <t>T-30d</t>
        </is>
      </c>
      <c r="G15" s="64" t="inlineStr">
        <is>
          <t>Prior 30d</t>
        </is>
      </c>
      <c r="H15" s="64" t="inlineStr">
        <is>
          <t>MoM Δ%</t>
        </is>
      </c>
      <c r="I15" s="64" t="inlineStr">
        <is>
          <t>Target /mo</t>
        </is>
      </c>
      <c r="J15" s="64" t="inlineStr">
        <is>
          <t>vs Target</t>
        </is>
      </c>
    </row>
    <row r="16" ht="15" customHeight="1" s="52">
      <c r="B16" s="65" t="inlineStr">
        <is>
          <t>Screenings</t>
        </is>
      </c>
      <c r="C16" s="66">
        <f>Metrics_Period!C5</f>
        <v/>
      </c>
      <c r="D16" s="66">
        <f>Metrics_Period!D5</f>
        <v/>
      </c>
      <c r="E16" s="67">
        <f>Metrics_Period!E5</f>
        <v/>
      </c>
      <c r="F16" s="66">
        <f>Metrics_Period!F5</f>
        <v/>
      </c>
      <c r="G16" s="66">
        <f>Metrics_Period!G5</f>
        <v/>
      </c>
      <c r="H16" s="67">
        <f>Metrics_Period!H5</f>
        <v/>
      </c>
      <c r="I16" s="66">
        <f>Metrics_Period!I5</f>
        <v/>
      </c>
      <c r="J16" s="67">
        <f>Metrics_Period!J5</f>
        <v/>
      </c>
    </row>
    <row r="17" ht="15" customHeight="1" s="52">
      <c r="B17" s="65" t="inlineStr">
        <is>
          <t>NDAs</t>
        </is>
      </c>
      <c r="C17" s="66">
        <f>Metrics_Period!C6</f>
        <v/>
      </c>
      <c r="D17" s="66">
        <f>Metrics_Period!D6</f>
        <v/>
      </c>
      <c r="E17" s="67">
        <f>Metrics_Period!E6</f>
        <v/>
      </c>
      <c r="F17" s="66">
        <f>Metrics_Period!F6</f>
        <v/>
      </c>
      <c r="G17" s="66">
        <f>Metrics_Period!G6</f>
        <v/>
      </c>
      <c r="H17" s="67">
        <f>Metrics_Period!H6</f>
        <v/>
      </c>
      <c r="I17" s="66">
        <f>Metrics_Period!I6</f>
        <v/>
      </c>
      <c r="J17" s="67">
        <f>Metrics_Period!J6</f>
        <v/>
      </c>
    </row>
    <row r="18" ht="15" customHeight="1" s="52">
      <c r="B18" s="65" t="inlineStr">
        <is>
          <t>Agreements</t>
        </is>
      </c>
      <c r="C18" s="66">
        <f>Metrics_Period!C7</f>
        <v/>
      </c>
      <c r="D18" s="66">
        <f>Metrics_Period!D7</f>
        <v/>
      </c>
      <c r="E18" s="67">
        <f>Metrics_Period!E7</f>
        <v/>
      </c>
      <c r="F18" s="66">
        <f>Metrics_Period!F7</f>
        <v/>
      </c>
      <c r="G18" s="66">
        <f>Metrics_Period!G7</f>
        <v/>
      </c>
      <c r="H18" s="67">
        <f>Metrics_Period!H7</f>
        <v/>
      </c>
      <c r="I18" s="66">
        <f>Metrics_Period!I7</f>
        <v/>
      </c>
      <c r="J18" s="67">
        <f>Metrics_Period!J7</f>
        <v/>
      </c>
    </row>
    <row r="19" ht="15" customHeight="1" s="52">
      <c r="B19" s="65" t="inlineStr">
        <is>
          <t>Meetings</t>
        </is>
      </c>
      <c r="C19" s="66">
        <f>Metrics_Period!C8</f>
        <v/>
      </c>
      <c r="D19" s="66">
        <f>Metrics_Period!D8</f>
        <v/>
      </c>
      <c r="E19" s="67">
        <f>Metrics_Period!E8</f>
        <v/>
      </c>
      <c r="F19" s="66">
        <f>Metrics_Period!F8</f>
        <v/>
      </c>
      <c r="G19" s="66">
        <f>Metrics_Period!G8</f>
        <v/>
      </c>
      <c r="H19" s="67">
        <f>Metrics_Period!H8</f>
        <v/>
      </c>
      <c r="I19" s="66">
        <f>Metrics_Period!I8</f>
        <v/>
      </c>
      <c r="J19" s="67">
        <f>Metrics_Period!J8</f>
        <v/>
      </c>
    </row>
    <row r="20" ht="15" customHeight="1" s="52">
      <c r="B20" s="65" t="inlineStr">
        <is>
          <t>New Pipeline Opps</t>
        </is>
      </c>
      <c r="C20" s="66">
        <f>Metrics_Period!C9</f>
        <v/>
      </c>
      <c r="D20" s="66">
        <f>Metrics_Period!D9</f>
        <v/>
      </c>
      <c r="E20" s="67">
        <f>Metrics_Period!E9</f>
        <v/>
      </c>
      <c r="F20" s="66">
        <f>Metrics_Period!F9</f>
        <v/>
      </c>
      <c r="G20" s="66">
        <f>Metrics_Period!G9</f>
        <v/>
      </c>
      <c r="H20" s="67">
        <f>Metrics_Period!H9</f>
        <v/>
      </c>
      <c r="I20" s="66">
        <f>Metrics_Period!I9</f>
        <v/>
      </c>
      <c r="J20" s="67">
        <f>Metrics_Period!J9</f>
        <v/>
      </c>
    </row>
    <row r="21"/>
    <row r="22" ht="15" customHeight="1" s="52">
      <c r="B22" s="58" t="inlineStr">
        <is>
          <t>FINANCIAL CADENCE  —  ACTUAL vs TARGET</t>
        </is>
      </c>
    </row>
    <row r="23" ht="25.5" customHeight="1" s="52">
      <c r="B23" s="64" t="inlineStr">
        <is>
          <t>Metric</t>
        </is>
      </c>
      <c r="C23" s="64" t="inlineStr">
        <is>
          <t>T-7d</t>
        </is>
      </c>
      <c r="D23" s="64" t="inlineStr">
        <is>
          <t>Prior 7d</t>
        </is>
      </c>
      <c r="E23" s="64" t="inlineStr">
        <is>
          <t>WoW Δ%</t>
        </is>
      </c>
      <c r="F23" s="64" t="inlineStr">
        <is>
          <t>T-30d</t>
        </is>
      </c>
      <c r="G23" s="64" t="inlineStr">
        <is>
          <t>Prior 30d</t>
        </is>
      </c>
      <c r="H23" s="64" t="inlineStr">
        <is>
          <t>MoM Δ%</t>
        </is>
      </c>
      <c r="I23" s="64" t="inlineStr">
        <is>
          <t>T-91d</t>
        </is>
      </c>
      <c r="J23" s="64" t="inlineStr">
        <is>
          <t>YTD</t>
        </is>
      </c>
    </row>
    <row r="24" ht="45.75" customHeight="1" s="52">
      <c r="B24" s="65" t="inlineStr">
        <is>
          <t>Revenue ($) — actual</t>
        </is>
      </c>
      <c r="C24" s="68">
        <f>Metrics_Period!C13</f>
        <v/>
      </c>
      <c r="D24" s="68">
        <f>Metrics_Period!D13</f>
        <v/>
      </c>
      <c r="E24" s="67">
        <f>Metrics_Period!E13</f>
        <v/>
      </c>
      <c r="F24" s="68">
        <f>Metrics_Period!F13</f>
        <v/>
      </c>
      <c r="G24" s="68">
        <f>Metrics_Period!G13</f>
        <v/>
      </c>
      <c r="H24" s="67">
        <f>Metrics_Period!H13</f>
        <v/>
      </c>
      <c r="I24" s="68">
        <f>Metrics_Period!K13</f>
        <v/>
      </c>
      <c r="J24" s="68">
        <f>Metrics_Period!L13</f>
        <v/>
      </c>
    </row>
    <row r="25" ht="15" customHeight="1" s="52">
      <c r="B25" s="65" t="inlineStr">
        <is>
          <t>Expenses ($) — actual</t>
        </is>
      </c>
      <c r="C25" s="68">
        <f>Metrics_Period!C14</f>
        <v/>
      </c>
      <c r="D25" s="68">
        <f>Metrics_Period!D14</f>
        <v/>
      </c>
      <c r="E25" s="67">
        <f>Metrics_Period!E14</f>
        <v/>
      </c>
      <c r="F25" s="68">
        <f>Metrics_Period!F14</f>
        <v/>
      </c>
      <c r="G25" s="68">
        <f>Metrics_Period!G14</f>
        <v/>
      </c>
      <c r="H25" s="67">
        <f>Metrics_Period!H14</f>
        <v/>
      </c>
      <c r="I25" s="68">
        <f>Metrics_Period!K14</f>
        <v/>
      </c>
      <c r="J25" s="68">
        <f>Metrics_Period!L14</f>
        <v/>
      </c>
    </row>
    <row r="26" ht="45.75" customHeight="1" s="52">
      <c r="B26" s="65" t="inlineStr">
        <is>
          <t>Net P/L ($) — actuals only</t>
        </is>
      </c>
      <c r="C26" s="68">
        <f>Metrics_Period!C15</f>
        <v/>
      </c>
      <c r="D26" s="68">
        <f>Metrics_Period!D15</f>
        <v/>
      </c>
      <c r="E26" s="67">
        <f>Metrics_Period!E15</f>
        <v/>
      </c>
      <c r="F26" s="68">
        <f>Metrics_Period!F15</f>
        <v/>
      </c>
      <c r="G26" s="68">
        <f>Metrics_Period!G15</f>
        <v/>
      </c>
      <c r="H26" s="67">
        <f>Metrics_Period!H15</f>
        <v/>
      </c>
      <c r="I26" s="68">
        <f>Metrics_Period!K15</f>
        <v/>
      </c>
      <c r="J26" s="68">
        <f>Metrics_Period!L15</f>
        <v/>
      </c>
    </row>
    <row r="27" ht="45.75" customHeight="1" s="52">
      <c r="B27" s="65" t="inlineStr">
        <is>
          <t>Expenses ($) — budgeted</t>
        </is>
      </c>
      <c r="C27" s="68">
        <f>Targets!C6/365*7</f>
        <v/>
      </c>
      <c r="D27" s="68">
        <f>Targets!C6/365*7</f>
        <v/>
      </c>
      <c r="E27" s="67">
        <f>0</f>
        <v/>
      </c>
      <c r="F27" s="68">
        <f>Targets!C6/365*30</f>
        <v/>
      </c>
      <c r="G27" s="68">
        <f>Targets!C6/365*30</f>
        <v/>
      </c>
      <c r="H27" s="67">
        <f>0</f>
        <v/>
      </c>
      <c r="I27" s="68">
        <f>Targets!C6/365*91</f>
        <v/>
      </c>
      <c r="J27" s="68">
        <f>Targets!C6/365*(As_Of_Date-DATE(YEAR(As_Of_Date),1,1)+1)</f>
        <v/>
      </c>
    </row>
    <row r="28" ht="57" customHeight="1" s="52">
      <c r="B28" s="69" t="inlineStr">
        <is>
          <t>Net P/L ($) — actual rev vs budget exp</t>
        </is>
      </c>
      <c r="C28" s="70">
        <f>C24-C27</f>
        <v/>
      </c>
      <c r="D28" s="70">
        <f>D24-D27</f>
        <v/>
      </c>
      <c r="E28" s="71">
        <f>IFERROR((C28-D28)/IF(D28=0,1,ABS(D28)),0)</f>
        <v/>
      </c>
      <c r="F28" s="70">
        <f>F24-F27</f>
        <v/>
      </c>
      <c r="G28" s="70">
        <f>G24-G27</f>
        <v/>
      </c>
      <c r="H28" s="71">
        <f>IFERROR((F28-G28)/IF(G28=0,1,ABS(G28)),0)</f>
        <v/>
      </c>
      <c r="I28" s="70">
        <f>I24-I27</f>
        <v/>
      </c>
      <c r="J28" s="70">
        <f>J24-J27</f>
        <v/>
      </c>
    </row>
    <row r="29"/>
    <row r="30" ht="36" customHeight="1" s="52">
      <c r="B30" s="72" t="inlineStr">
        <is>
          <t xml:space="preserve">  ⚠  Net P/L (actuals-only) is partial: Expense_Ledger has no entries yet. The "actual rev vs budget exp" row below uses pro-rated annual budget ($212,270 ÷ 365) as an expense proxy — closer to economic reality until you log actual expenses.</t>
        </is>
      </c>
    </row>
    <row r="31"/>
    <row r="32" ht="15" customHeight="1" s="52">
      <c r="B32" s="58" t="inlineStr">
        <is>
          <t>ACTIVE BLOCKERS  —  PIPELINE GATING ITEMS</t>
        </is>
      </c>
    </row>
    <row r="33" ht="15" customHeight="1" s="52">
      <c r="B33" s="73" t="inlineStr">
        <is>
          <t>• GSA MAS 54151HEAL Refresh 31 remediation (7 deficiencies open) — SIN suppressed from all document furniture</t>
        </is>
      </c>
    </row>
    <row r="34" ht="15" customHeight="1" s="52">
      <c r="B34" s="73" t="inlineStr">
        <is>
          <t>• SOC 2 Type II gap assessment — recurring DQ on WA + select federal pursuits</t>
        </is>
      </c>
    </row>
    <row r="35" ht="15" customHeight="1" s="52">
      <c r="B35" s="73" t="inlineStr">
        <is>
          <t>• WA Secretary of State foreign entity registration (~$180) — gates WA SLED delivery (FSIPAP downstream)</t>
        </is>
      </c>
    </row>
    <row r="36" ht="15" customHeight="1" s="52">
      <c r="B36" s="73" t="inlineStr">
        <is>
          <t>• Montana firearms-entities certification (Grace Waring) — pre-execution item, Montana Master AI award</t>
        </is>
      </c>
    </row>
    <row r="37" ht="15" customHeight="1" s="52">
      <c r="B37" s="73" t="inlineStr">
        <is>
          <t>• eMACS Profile 2 awarded-vendor upgrade — verify completed before Montana contract signature</t>
        </is>
      </c>
    </row>
  </sheetData>
  <mergeCells count="8">
    <mergeCell ref="B36:H36"/>
    <mergeCell ref="A2:I2"/>
    <mergeCell ref="B35:H35"/>
    <mergeCell ref="A1:I1"/>
    <mergeCell ref="B30:H30"/>
    <mergeCell ref="B33:H33"/>
    <mergeCell ref="B34:H34"/>
    <mergeCell ref="B37:H37"/>
  </mergeCells>
  <conditionalFormatting sqref="E16:E20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H16:H20">
    <cfRule type="cellIs" rank="0" priority="4" equalAverage="0" operator="lessThan" aboveAverage="0" dxfId="0" text="" percent="0" bottom="0">
      <formula>0</formula>
    </cfRule>
    <cfRule type="cellIs" rank="0" priority="5" equalAverage="0" operator="greaterThan" aboveAverage="0" dxfId="1" text="" percent="0" bottom="0">
      <formula>0</formula>
    </cfRule>
  </conditionalFormatting>
  <conditionalFormatting sqref="J16:J20">
    <cfRule type="cellIs" rank="0" priority="6" equalAverage="0" operator="lessThan" aboveAverage="0" dxfId="0" text="" percent="0" bottom="0">
      <formula>0</formula>
    </cfRule>
    <cfRule type="cellIs" rank="0" priority="7" equalAverage="0" operator="greaterThan" aboveAverage="0" dxfId="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7B801"/>
    <outlinePr summaryBelow="1" summaryRight="1"/>
    <pageSetUpPr fitToPage="0"/>
  </sheetPr>
  <dimension ref="A1:H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51" min="1" max="1"/>
    <col width="30" customWidth="1" style="51" min="2" max="2"/>
    <col width="18" customWidth="1" style="51" min="3" max="7"/>
    <col width="30" customWidth="1" style="51" min="8" max="8"/>
  </cols>
  <sheetData>
    <row r="1" ht="27.75" customHeight="1" s="52">
      <c r="A1" s="53" t="inlineStr">
        <is>
          <t xml:space="preserve">  TARGETS  —  Internal Goals &amp; KPI Reference</t>
        </is>
      </c>
    </row>
    <row r="2" ht="21.75" customHeight="1" s="52">
      <c r="A2" s="54" t="inlineStr">
        <is>
          <t xml:space="preserve">  Edit values in BLUE to update goals. Formulas in BLACK should not be edited.</t>
        </is>
      </c>
    </row>
    <row r="3"/>
    <row r="4" ht="15" customHeight="1" s="52">
      <c r="B4" s="58" t="inlineStr">
        <is>
          <t>FINANCIAL TARGETS  (Year 1)</t>
        </is>
      </c>
    </row>
    <row r="5" ht="15" customHeight="1" s="52">
      <c r="B5" s="74" t="inlineStr">
        <is>
          <t>Year-1 ARR Target</t>
        </is>
      </c>
      <c r="C5" s="75" t="n">
        <v>500000</v>
      </c>
      <c r="D5" s="76" t="inlineStr">
        <is>
          <t>New top-line goal — overrides income-statement projection</t>
        </is>
      </c>
    </row>
    <row r="6" ht="15" customHeight="1" s="52">
      <c r="B6" s="74" t="inlineStr">
        <is>
          <t>Yearly Expense Budget</t>
        </is>
      </c>
      <c r="C6" s="77" t="n">
        <v>224631</v>
      </c>
      <c r="D6" s="76" t="inlineStr">
        <is>
          <t>Source: income statement (sum of expense lines)</t>
        </is>
      </c>
    </row>
    <row r="7" ht="15" customHeight="1" s="52">
      <c r="B7" s="74" t="inlineStr">
        <is>
          <t>Yearly P/L Target</t>
        </is>
      </c>
      <c r="C7" s="78">
        <f>C5-C6</f>
        <v/>
      </c>
      <c r="D7" s="76" t="inlineStr">
        <is>
          <t>Aspirational: P/L if Year-1 ARR target is achieved</t>
        </is>
      </c>
    </row>
    <row r="8" ht="15" customHeight="1" s="52">
      <c r="B8" s="79" t="n"/>
      <c r="C8" s="80" t="n"/>
      <c r="D8" s="76" t="n"/>
    </row>
    <row r="9" ht="15" customHeight="1" s="52">
      <c r="B9" s="74" t="inlineStr">
        <is>
          <t>Confirmed Revenue: HCPSS</t>
        </is>
      </c>
      <c r="C9" s="77" t="n">
        <v>134400</v>
      </c>
      <c r="D9" s="76" t="inlineStr">
        <is>
          <t>Source: income statement</t>
        </is>
      </c>
    </row>
    <row r="10" ht="15" customHeight="1" s="52">
      <c r="B10" s="74" t="inlineStr">
        <is>
          <t>Confirmed Revenue: First Brands Group</t>
        </is>
      </c>
      <c r="C10" s="77" t="n">
        <v>30000</v>
      </c>
      <c r="D10" s="76" t="inlineStr">
        <is>
          <t>Source: income statement</t>
        </is>
      </c>
    </row>
    <row r="11" ht="15" customHeight="1" s="52">
      <c r="B11" s="74" t="inlineStr">
        <is>
          <t>Subtotal Confirmed Revenue</t>
        </is>
      </c>
      <c r="C11" s="78">
        <f>C9+C10</f>
        <v/>
      </c>
      <c r="D11" s="76" t="inlineStr">
        <is>
          <t>Sum of confirmed contracts</t>
        </is>
      </c>
    </row>
    <row r="12" ht="15" customHeight="1" s="52">
      <c r="B12" s="74" t="inlineStr">
        <is>
          <t>Run-Rate P/L (Confirmed − Budget)</t>
        </is>
      </c>
      <c r="C12" s="81">
        <f>C11-C6</f>
        <v/>
      </c>
      <c r="D12" s="76" t="inlineStr">
        <is>
          <t>Current burn from confirmed contracts only — matches income-statement bottom line</t>
        </is>
      </c>
    </row>
    <row r="13" ht="15" customHeight="1" s="52">
      <c r="B13" s="74" t="inlineStr">
        <is>
          <t>Gap to Break-Even</t>
        </is>
      </c>
      <c r="C13" s="82">
        <f>MAX(C6-C11,0)</f>
        <v/>
      </c>
      <c r="D13" s="76" t="inlineStr">
        <is>
          <t>New revenue needed to stop losing money (cross break-even)</t>
        </is>
      </c>
    </row>
    <row r="14" ht="15" customHeight="1" s="52">
      <c r="B14" s="74" t="inlineStr">
        <is>
          <t>Gap to ARR Target (must win)</t>
        </is>
      </c>
      <c r="C14" s="81">
        <f>C5-C11</f>
        <v/>
      </c>
      <c r="D14" s="76" t="inlineStr">
        <is>
          <t>Amount of new business needed to hit Y1 ARR target</t>
        </is>
      </c>
    </row>
    <row r="15"/>
    <row r="16"/>
    <row r="17" ht="15" customHeight="1" s="52">
      <c r="B17" s="58" t="inlineStr">
        <is>
          <t>MONTHLY TARGET SCHEDULE  (flat allocation = Annual ÷ 12)</t>
        </is>
      </c>
    </row>
    <row r="18" ht="27.75" customHeight="1" s="52">
      <c r="B18" s="64" t="inlineStr">
        <is>
          <t>Month</t>
        </is>
      </c>
      <c r="C18" s="64" t="inlineStr">
        <is>
          <t>Revenue Target</t>
        </is>
      </c>
      <c r="D18" s="64" t="inlineStr">
        <is>
          <t>Expense Target</t>
        </is>
      </c>
      <c r="E18" s="64" t="inlineStr">
        <is>
          <t>P/L Target</t>
        </is>
      </c>
      <c r="F18" s="64" t="inlineStr">
        <is>
          <t>Cumulative Revenue Target</t>
        </is>
      </c>
    </row>
    <row r="19" ht="15" customHeight="1" s="52">
      <c r="B19" s="65" t="inlineStr">
        <is>
          <t>Jan</t>
        </is>
      </c>
      <c r="C19" s="78">
        <f>$C$5/12</f>
        <v/>
      </c>
      <c r="D19" s="78">
        <f>$C$6/12</f>
        <v/>
      </c>
      <c r="E19" s="78">
        <f>C19-D19</f>
        <v/>
      </c>
      <c r="F19" s="78">
        <f>C19</f>
        <v/>
      </c>
    </row>
    <row r="20" ht="15" customHeight="1" s="52">
      <c r="B20" s="65" t="inlineStr">
        <is>
          <t>Feb</t>
        </is>
      </c>
      <c r="C20" s="78">
        <f>$C$5/12</f>
        <v/>
      </c>
      <c r="D20" s="78">
        <f>$C$6/12</f>
        <v/>
      </c>
      <c r="E20" s="78">
        <f>C20-D20</f>
        <v/>
      </c>
      <c r="F20" s="78">
        <f>F19+C20</f>
        <v/>
      </c>
    </row>
    <row r="21" ht="15" customHeight="1" s="52">
      <c r="B21" s="65" t="inlineStr">
        <is>
          <t>Mar</t>
        </is>
      </c>
      <c r="C21" s="78">
        <f>$C$5/12</f>
        <v/>
      </c>
      <c r="D21" s="78">
        <f>$C$6/12</f>
        <v/>
      </c>
      <c r="E21" s="78">
        <f>C21-D21</f>
        <v/>
      </c>
      <c r="F21" s="78">
        <f>F20+C21</f>
        <v/>
      </c>
    </row>
    <row r="22" ht="15" customHeight="1" s="52">
      <c r="B22" s="65" t="inlineStr">
        <is>
          <t>Apr</t>
        </is>
      </c>
      <c r="C22" s="78">
        <f>$C$5/12</f>
        <v/>
      </c>
      <c r="D22" s="78">
        <f>$C$6/12</f>
        <v/>
      </c>
      <c r="E22" s="78">
        <f>C22-D22</f>
        <v/>
      </c>
      <c r="F22" s="78">
        <f>F21+C22</f>
        <v/>
      </c>
    </row>
    <row r="23" ht="15" customHeight="1" s="52">
      <c r="B23" s="65" t="inlineStr">
        <is>
          <t>May</t>
        </is>
      </c>
      <c r="C23" s="78">
        <f>$C$5/12</f>
        <v/>
      </c>
      <c r="D23" s="78">
        <f>$C$6/12</f>
        <v/>
      </c>
      <c r="E23" s="78">
        <f>C23-D23</f>
        <v/>
      </c>
      <c r="F23" s="78">
        <f>F22+C23</f>
        <v/>
      </c>
    </row>
    <row r="24" ht="15" customHeight="1" s="52">
      <c r="B24" s="65" t="inlineStr">
        <is>
          <t>Jun</t>
        </is>
      </c>
      <c r="C24" s="78">
        <f>$C$5/12</f>
        <v/>
      </c>
      <c r="D24" s="78">
        <f>$C$6/12</f>
        <v/>
      </c>
      <c r="E24" s="78">
        <f>C24-D24</f>
        <v/>
      </c>
      <c r="F24" s="78">
        <f>F23+C24</f>
        <v/>
      </c>
    </row>
    <row r="25" ht="15" customHeight="1" s="52">
      <c r="B25" s="65" t="inlineStr">
        <is>
          <t>Jul</t>
        </is>
      </c>
      <c r="C25" s="78">
        <f>$C$5/12</f>
        <v/>
      </c>
      <c r="D25" s="78">
        <f>$C$6/12</f>
        <v/>
      </c>
      <c r="E25" s="78">
        <f>C25-D25</f>
        <v/>
      </c>
      <c r="F25" s="78">
        <f>F24+C25</f>
        <v/>
      </c>
    </row>
    <row r="26" ht="15" customHeight="1" s="52">
      <c r="B26" s="65" t="inlineStr">
        <is>
          <t>Aug</t>
        </is>
      </c>
      <c r="C26" s="78">
        <f>$C$5/12</f>
        <v/>
      </c>
      <c r="D26" s="78">
        <f>$C$6/12</f>
        <v/>
      </c>
      <c r="E26" s="78">
        <f>C26-D26</f>
        <v/>
      </c>
      <c r="F26" s="78">
        <f>F25+C26</f>
        <v/>
      </c>
    </row>
    <row r="27" ht="15" customHeight="1" s="52">
      <c r="B27" s="65" t="inlineStr">
        <is>
          <t>Sep</t>
        </is>
      </c>
      <c r="C27" s="78">
        <f>$C$5/12</f>
        <v/>
      </c>
      <c r="D27" s="78">
        <f>$C$6/12</f>
        <v/>
      </c>
      <c r="E27" s="78">
        <f>C27-D27</f>
        <v/>
      </c>
      <c r="F27" s="78">
        <f>F26+C27</f>
        <v/>
      </c>
    </row>
    <row r="28" ht="15" customHeight="1" s="52">
      <c r="B28" s="65" t="inlineStr">
        <is>
          <t>Oct</t>
        </is>
      </c>
      <c r="C28" s="78">
        <f>$C$5/12</f>
        <v/>
      </c>
      <c r="D28" s="78">
        <f>$C$6/12</f>
        <v/>
      </c>
      <c r="E28" s="78">
        <f>C28-D28</f>
        <v/>
      </c>
      <c r="F28" s="78">
        <f>F27+C28</f>
        <v/>
      </c>
    </row>
    <row r="29" ht="15" customHeight="1" s="52">
      <c r="B29" s="65" t="inlineStr">
        <is>
          <t>Nov</t>
        </is>
      </c>
      <c r="C29" s="78">
        <f>$C$5/12</f>
        <v/>
      </c>
      <c r="D29" s="78">
        <f>$C$6/12</f>
        <v/>
      </c>
      <c r="E29" s="78">
        <f>C29-D29</f>
        <v/>
      </c>
      <c r="F29" s="78">
        <f>F28+C29</f>
        <v/>
      </c>
    </row>
    <row r="30" ht="15" customHeight="1" s="52">
      <c r="B30" s="65" t="inlineStr">
        <is>
          <t>Dec</t>
        </is>
      </c>
      <c r="C30" s="78">
        <f>$C$5/12</f>
        <v/>
      </c>
      <c r="D30" s="78">
        <f>$C$6/12</f>
        <v/>
      </c>
      <c r="E30" s="78">
        <f>C30-D30</f>
        <v/>
      </c>
      <c r="F30" s="78">
        <f>F29+C30</f>
        <v/>
      </c>
    </row>
    <row r="31"/>
    <row r="32" ht="15" customHeight="1" s="52">
      <c r="B32" s="58" t="inlineStr">
        <is>
          <t>BD CADENCE TARGETS</t>
        </is>
      </c>
    </row>
    <row r="33" ht="27.75" customHeight="1" s="52">
      <c r="B33" s="64" t="inlineStr">
        <is>
          <t>KPI</t>
        </is>
      </c>
      <c r="C33" s="64" t="inlineStr">
        <is>
          <t>Weekly</t>
        </is>
      </c>
      <c r="D33" s="64" t="inlineStr">
        <is>
          <t>Monthly (×4.33)</t>
        </is>
      </c>
      <c r="E33" s="64" t="inlineStr">
        <is>
          <t>Quarterly (×13)</t>
        </is>
      </c>
      <c r="F33" s="64" t="inlineStr">
        <is>
          <t>Annual</t>
        </is>
      </c>
      <c r="G33" s="64" t="inlineStr">
        <is>
          <t>Notes</t>
        </is>
      </c>
    </row>
    <row r="34" ht="15" customHeight="1" s="52">
      <c r="B34" s="65" t="inlineStr">
        <is>
          <t>Screenings</t>
        </is>
      </c>
      <c r="C34" s="83" t="n">
        <v>6</v>
      </c>
      <c r="D34" s="84">
        <f>ROUND(C34*4.33,0)</f>
        <v/>
      </c>
      <c r="E34" s="84">
        <f>C34*13</f>
        <v/>
      </c>
      <c r="F34" s="84">
        <f>C34*52</f>
        <v/>
      </c>
      <c r="G34" s="85" t="inlineStr">
        <is>
          <t>Run rate Apr 1 → Jun 1 = 6.2/wk</t>
        </is>
      </c>
    </row>
    <row r="35" ht="15" customHeight="1" s="52">
      <c r="B35" s="65" t="inlineStr">
        <is>
          <t>NDAs Executed</t>
        </is>
      </c>
      <c r="C35" s="83" t="n">
        <v>2</v>
      </c>
      <c r="D35" s="84">
        <f>ROUND(C35*4.33,0)</f>
        <v/>
      </c>
      <c r="E35" s="84">
        <f>C35*13</f>
        <v/>
      </c>
      <c r="F35" s="84">
        <f>C35*52</f>
        <v/>
      </c>
      <c r="G35" s="85" t="inlineStr">
        <is>
          <t>Run rate = 2.1/wk</t>
        </is>
      </c>
    </row>
    <row r="36" ht="15" customHeight="1" s="52">
      <c r="B36" s="65" t="inlineStr">
        <is>
          <t>Agreements Executed</t>
        </is>
      </c>
      <c r="C36" s="83" t="n">
        <v>2</v>
      </c>
      <c r="D36" s="84">
        <f>ROUND(C36*4.33,0)</f>
        <v/>
      </c>
      <c r="E36" s="84">
        <f>C36*13</f>
        <v/>
      </c>
      <c r="F36" s="84">
        <f>C36*52</f>
        <v/>
      </c>
      <c r="G36" s="85" t="inlineStr">
        <is>
          <t>Teaming/commission/partnership; run rate = 1.9/wk</t>
        </is>
      </c>
    </row>
    <row r="37" ht="15" customHeight="1" s="52">
      <c r="B37" s="65" t="inlineStr">
        <is>
          <t>Meetings</t>
        </is>
      </c>
      <c r="C37" s="83" t="n">
        <v>2</v>
      </c>
      <c r="D37" s="84">
        <f>ROUND(C37*4.33,0)</f>
        <v/>
      </c>
      <c r="E37" s="84">
        <f>C37*13</f>
        <v/>
      </c>
      <c r="F37" s="84">
        <f>C37*52</f>
        <v/>
      </c>
      <c r="G37" s="85" t="inlineStr">
        <is>
          <t>Discovery + sync + capture meetings</t>
        </is>
      </c>
    </row>
    <row r="38" ht="15" customHeight="1" s="52">
      <c r="B38" s="65" t="inlineStr">
        <is>
          <t>New Pipeline Opps</t>
        </is>
      </c>
      <c r="C38" s="83" t="n">
        <v>1</v>
      </c>
      <c r="D38" s="84">
        <f>ROUND(C38*4.33,0)</f>
        <v/>
      </c>
      <c r="E38" s="84">
        <f>C38*13</f>
        <v/>
      </c>
      <c r="F38" s="84">
        <f>C38*52</f>
        <v/>
      </c>
      <c r="G38" s="85" t="inlineStr">
        <is>
          <t>Net new opportunities entered into pipeline</t>
        </is>
      </c>
    </row>
    <row r="39"/>
    <row r="40"/>
    <row r="41" ht="15" customHeight="1" s="52">
      <c r="B41" s="58" t="inlineStr">
        <is>
          <t>PIPELINE COVERAGE TARGET  (steady-state stock, not flow)</t>
        </is>
      </c>
    </row>
    <row r="42" ht="15" customHeight="1" s="52">
      <c r="B42" s="74" t="inlineStr">
        <is>
          <t>Active Pipeline Opportunities Tracked</t>
        </is>
      </c>
      <c r="C42" s="86" t="n">
        <v>20</v>
      </c>
      <c r="D42" s="57" t="inlineStr">
        <is>
          <t>Conservative for one-capture-manager BD (Khaalis), assumes ~25% win rate on submitted opps</t>
        </is>
      </c>
    </row>
  </sheetData>
  <mergeCells count="13">
    <mergeCell ref="D12:H12"/>
    <mergeCell ref="D7:H7"/>
    <mergeCell ref="D8:H8"/>
    <mergeCell ref="D6:H6"/>
    <mergeCell ref="D10:H10"/>
    <mergeCell ref="D42:H42"/>
    <mergeCell ref="A2:H2"/>
    <mergeCell ref="D11:H11"/>
    <mergeCell ref="D13:H13"/>
    <mergeCell ref="D5:H5"/>
    <mergeCell ref="D14:H14"/>
    <mergeCell ref="A1:H1"/>
    <mergeCell ref="D9:H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2EA891"/>
    <outlinePr summaryBelow="1" summaryRight="1"/>
    <pageSetUpPr fitToPage="0"/>
  </sheetPr>
  <dimension ref="A1: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3" customWidth="1" style="51" min="1" max="1"/>
    <col width="28" customWidth="1" style="51" min="2" max="2"/>
    <col width="14" customWidth="1" style="51" min="3" max="4"/>
    <col width="12" customWidth="1" style="51" min="5" max="5"/>
    <col width="14" customWidth="1" style="51" min="6" max="7"/>
    <col width="12" customWidth="1" style="51" min="8" max="8"/>
    <col width="16" customWidth="1" style="51" min="9" max="9"/>
    <col width="14" customWidth="1" style="51" min="10" max="14"/>
  </cols>
  <sheetData>
    <row r="1" ht="27.75" customHeight="1" s="52">
      <c r="A1" s="53" t="inlineStr">
        <is>
          <t xml:space="preserve">  METRICS_PERIOD  —  Computed Engine  (Do not edit — formula-driven)</t>
        </is>
      </c>
    </row>
    <row r="2" ht="21.75" customHeight="1" s="52">
      <c r="A2" s="87" t="inlineStr">
        <is>
          <t xml:space="preserve">  All values driven by As_Of_Date on Dashboard. Pulls from input ledgers via SUMIFS/COUNTIFS.</t>
        </is>
      </c>
    </row>
    <row r="3"/>
    <row r="4" ht="36" customHeight="1" s="52">
      <c r="A4" s="64" t="inlineStr">
        <is>
          <t>#</t>
        </is>
      </c>
      <c r="B4" s="64" t="inlineStr">
        <is>
          <t>KPI</t>
        </is>
      </c>
      <c r="C4" s="64" t="inlineStr">
        <is>
          <t>T-7d</t>
        </is>
      </c>
      <c r="D4" s="64" t="inlineStr">
        <is>
          <t>Prior 7d</t>
        </is>
      </c>
      <c r="E4" s="64" t="inlineStr">
        <is>
          <t>WoW Δ%</t>
        </is>
      </c>
      <c r="F4" s="64" t="inlineStr">
        <is>
          <t>T-30d</t>
        </is>
      </c>
      <c r="G4" s="64" t="inlineStr">
        <is>
          <t>Prior 30d</t>
        </is>
      </c>
      <c r="H4" s="64" t="inlineStr">
        <is>
          <t>MoM Δ%</t>
        </is>
      </c>
      <c r="I4" s="64" t="inlineStr">
        <is>
          <t>Target /mo</t>
        </is>
      </c>
      <c r="J4" s="64" t="inlineStr">
        <is>
          <t>vs Target</t>
        </is>
      </c>
      <c r="K4" s="64" t="inlineStr">
        <is>
          <t>T-91d</t>
        </is>
      </c>
      <c r="L4" s="64" t="inlineStr">
        <is>
          <t>Prior 91d / YTD</t>
        </is>
      </c>
      <c r="M4" s="64" t="inlineStr">
        <is>
          <t>QoQ Δ%</t>
        </is>
      </c>
      <c r="N4" s="64" t="inlineStr">
        <is>
          <t>YoY Δ%</t>
        </is>
      </c>
    </row>
    <row r="5" ht="15" customHeight="1" s="52">
      <c r="A5" s="106" t="n">
        <v>1</v>
      </c>
      <c r="B5" s="65" t="inlineStr">
        <is>
          <t>Screenings</t>
        </is>
      </c>
      <c r="C5" s="89">
        <f>COUNTIFS(Screenings!E:E,"&gt;="&amp;As_Of_Date-7,Screenings!E:E,"&lt;="&amp;As_Of_Date-0)</f>
        <v/>
      </c>
      <c r="D5" s="89">
        <f>COUNTIFS(Screenings!E:E,"&gt;="&amp;As_Of_Date-14,Screenings!E:E,"&lt;"&amp;As_Of_Date-7)</f>
        <v/>
      </c>
      <c r="E5" s="90">
        <f>IFERROR((C5-D5)/D5,0)</f>
        <v/>
      </c>
      <c r="F5" s="89">
        <f>COUNTIFS(Screenings!E:E,"&gt;="&amp;As_Of_Date-30,Screenings!E:E,"&lt;="&amp;As_Of_Date-0)</f>
        <v/>
      </c>
      <c r="G5" s="89">
        <f>COUNTIFS(Screenings!E:E,"&gt;="&amp;As_Of_Date-60,Screenings!E:E,"&lt;"&amp;As_Of_Date-30)</f>
        <v/>
      </c>
      <c r="H5" s="90">
        <f>IFERROR((F5-G5)/G5,0)</f>
        <v/>
      </c>
      <c r="I5" s="89">
        <f>Targets!D34</f>
        <v/>
      </c>
      <c r="J5" s="90">
        <f>IFERROR((F5-I5)/I5,0)</f>
        <v/>
      </c>
      <c r="K5" s="89">
        <f>COUNTIFS(Screenings!E:E,"&gt;="&amp;As_Of_Date-91,Screenings!E:E,"&lt;="&amp;As_Of_Date-0)</f>
        <v/>
      </c>
      <c r="L5" s="89">
        <f>COUNTIFS(Screenings!E:E,"&gt;="&amp;As_Of_Date-182,Screenings!E:E,"&lt;"&amp;As_Of_Date-91)</f>
        <v/>
      </c>
      <c r="M5" s="90">
        <f>IFERROR((K5-L5)/L5,0)</f>
        <v/>
      </c>
      <c r="N5" s="90">
        <f>IFERROR((COUNTIFS(Screenings!E:E,"&gt;="&amp;As_Of_Date-365,Screenings!E:E,"&lt;="&amp;As_Of_Date-0)-COUNTIFS(Screenings!E:E,"&gt;="&amp;As_Of_Date-730,Screenings!E:E,"&lt;"&amp;As_Of_Date-365))/COUNTIFS(Screenings!E:E,"&gt;="&amp;As_Of_Date-730,Screenings!E:E,"&lt;"&amp;As_Of_Date-365),0)</f>
        <v/>
      </c>
    </row>
    <row r="6" ht="15" customHeight="1" s="52">
      <c r="A6" s="106" t="n">
        <v>2</v>
      </c>
      <c r="B6" s="65" t="inlineStr">
        <is>
          <t>NDAs</t>
        </is>
      </c>
      <c r="C6" s="89">
        <f>COUNTIFS(NDAs!D:D,"&gt;="&amp;As_Of_Date-7,NDAs!D:D,"&lt;="&amp;As_Of_Date-0)</f>
        <v/>
      </c>
      <c r="D6" s="89">
        <f>COUNTIFS(NDAs!D:D,"&gt;="&amp;As_Of_Date-14,NDAs!D:D,"&lt;"&amp;As_Of_Date-7)</f>
        <v/>
      </c>
      <c r="E6" s="90">
        <f>IFERROR((C6-D6)/D6,0)</f>
        <v/>
      </c>
      <c r="F6" s="89">
        <f>COUNTIFS(NDAs!D:D,"&gt;="&amp;As_Of_Date-30,NDAs!D:D,"&lt;="&amp;As_Of_Date-0)</f>
        <v/>
      </c>
      <c r="G6" s="89">
        <f>COUNTIFS(NDAs!D:D,"&gt;="&amp;As_Of_Date-60,NDAs!D:D,"&lt;"&amp;As_Of_Date-30)</f>
        <v/>
      </c>
      <c r="H6" s="90">
        <f>IFERROR((F6-G6)/G6,0)</f>
        <v/>
      </c>
      <c r="I6" s="89">
        <f>Targets!D35</f>
        <v/>
      </c>
      <c r="J6" s="90">
        <f>IFERROR((F6-I6)/I6,0)</f>
        <v/>
      </c>
      <c r="K6" s="89">
        <f>COUNTIFS(NDAs!D:D,"&gt;="&amp;As_Of_Date-91,NDAs!D:D,"&lt;="&amp;As_Of_Date-0)</f>
        <v/>
      </c>
      <c r="L6" s="89">
        <f>COUNTIFS(NDAs!D:D,"&gt;="&amp;As_Of_Date-182,NDAs!D:D,"&lt;"&amp;As_Of_Date-91)</f>
        <v/>
      </c>
      <c r="M6" s="90">
        <f>IFERROR((K6-L6)/L6,0)</f>
        <v/>
      </c>
      <c r="N6" s="90">
        <f>IFERROR((COUNTIFS(NDAs!D:D,"&gt;="&amp;As_Of_Date-365,NDAs!D:D,"&lt;="&amp;As_Of_Date-0)-COUNTIFS(NDAs!D:D,"&gt;="&amp;As_Of_Date-730,NDAs!D:D,"&lt;"&amp;As_Of_Date-365))/COUNTIFS(NDAs!D:D,"&gt;="&amp;As_Of_Date-730,NDAs!D:D,"&lt;"&amp;As_Of_Date-365),0)</f>
        <v/>
      </c>
    </row>
    <row r="7" ht="15" customHeight="1" s="52">
      <c r="A7" s="106" t="n">
        <v>3</v>
      </c>
      <c r="B7" s="65" t="inlineStr">
        <is>
          <t>Agreements</t>
        </is>
      </c>
      <c r="C7" s="89">
        <f>COUNTIFS(Agreements!D:D,"&gt;="&amp;As_Of_Date-7,Agreements!D:D,"&lt;="&amp;As_Of_Date-0)</f>
        <v/>
      </c>
      <c r="D7" s="89">
        <f>COUNTIFS(Agreements!D:D,"&gt;="&amp;As_Of_Date-14,Agreements!D:D,"&lt;"&amp;As_Of_Date-7)</f>
        <v/>
      </c>
      <c r="E7" s="90">
        <f>IFERROR((C7-D7)/D7,0)</f>
        <v/>
      </c>
      <c r="F7" s="89">
        <f>COUNTIFS(Agreements!D:D,"&gt;="&amp;As_Of_Date-30,Agreements!D:D,"&lt;="&amp;As_Of_Date-0)</f>
        <v/>
      </c>
      <c r="G7" s="89">
        <f>COUNTIFS(Agreements!D:D,"&gt;="&amp;As_Of_Date-60,Agreements!D:D,"&lt;"&amp;As_Of_Date-30)</f>
        <v/>
      </c>
      <c r="H7" s="90">
        <f>IFERROR((F7-G7)/G7,0)</f>
        <v/>
      </c>
      <c r="I7" s="89">
        <f>Targets!D36</f>
        <v/>
      </c>
      <c r="J7" s="90">
        <f>IFERROR((F7-I7)/I7,0)</f>
        <v/>
      </c>
      <c r="K7" s="89">
        <f>COUNTIFS(Agreements!D:D,"&gt;="&amp;As_Of_Date-91,Agreements!D:D,"&lt;="&amp;As_Of_Date-0)</f>
        <v/>
      </c>
      <c r="L7" s="89">
        <f>COUNTIFS(Agreements!D:D,"&gt;="&amp;As_Of_Date-182,Agreements!D:D,"&lt;"&amp;As_Of_Date-91)</f>
        <v/>
      </c>
      <c r="M7" s="90">
        <f>IFERROR((K7-L7)/L7,0)</f>
        <v/>
      </c>
      <c r="N7" s="90">
        <f>IFERROR((COUNTIFS(Agreements!D:D,"&gt;="&amp;As_Of_Date-365,Agreements!D:D,"&lt;="&amp;As_Of_Date-0)-COUNTIFS(Agreements!D:D,"&gt;="&amp;As_Of_Date-730,Agreements!D:D,"&lt;"&amp;As_Of_Date-365))/COUNTIFS(Agreements!D:D,"&gt;="&amp;As_Of_Date-730,Agreements!D:D,"&lt;"&amp;As_Of_Date-365),0)</f>
        <v/>
      </c>
    </row>
    <row r="8" ht="15" customHeight="1" s="52">
      <c r="A8" s="106" t="n">
        <v>4</v>
      </c>
      <c r="B8" s="65" t="inlineStr">
        <is>
          <t>Meetings</t>
        </is>
      </c>
      <c r="C8" s="89">
        <f>COUNTIFS(Meetings!A:A,"&gt;="&amp;As_Of_Date-7,Meetings!A:A,"&lt;="&amp;As_Of_Date-0)</f>
        <v/>
      </c>
      <c r="D8" s="89">
        <f>COUNTIFS(Meetings!A:A,"&gt;="&amp;As_Of_Date-14,Meetings!A:A,"&lt;"&amp;As_Of_Date-7)</f>
        <v/>
      </c>
      <c r="E8" s="90">
        <f>IFERROR((C8-D8)/D8,0)</f>
        <v/>
      </c>
      <c r="F8" s="89">
        <f>COUNTIFS(Meetings!A:A,"&gt;="&amp;As_Of_Date-30,Meetings!A:A,"&lt;="&amp;As_Of_Date-0)</f>
        <v/>
      </c>
      <c r="G8" s="89">
        <f>COUNTIFS(Meetings!A:A,"&gt;="&amp;As_Of_Date-60,Meetings!A:A,"&lt;"&amp;As_Of_Date-30)</f>
        <v/>
      </c>
      <c r="H8" s="90">
        <f>IFERROR((F8-G8)/G8,0)</f>
        <v/>
      </c>
      <c r="I8" s="89">
        <f>Targets!D37</f>
        <v/>
      </c>
      <c r="J8" s="90">
        <f>IFERROR((F8-I8)/I8,0)</f>
        <v/>
      </c>
      <c r="K8" s="89">
        <f>COUNTIFS(Meetings!A:A,"&gt;="&amp;As_Of_Date-91,Meetings!A:A,"&lt;="&amp;As_Of_Date-0)</f>
        <v/>
      </c>
      <c r="L8" s="89">
        <f>COUNTIFS(Meetings!A:A,"&gt;="&amp;As_Of_Date-182,Meetings!A:A,"&lt;"&amp;As_Of_Date-91)</f>
        <v/>
      </c>
      <c r="M8" s="90">
        <f>IFERROR((K8-L8)/L8,0)</f>
        <v/>
      </c>
      <c r="N8" s="90">
        <f>IFERROR((COUNTIFS(Meetings!A:A,"&gt;="&amp;As_Of_Date-365,Meetings!A:A,"&lt;="&amp;As_Of_Date-0)-COUNTIFS(Meetings!A:A,"&gt;="&amp;As_Of_Date-730,Meetings!A:A,"&lt;"&amp;As_Of_Date-365))/COUNTIFS(Meetings!A:A,"&gt;="&amp;As_Of_Date-730,Meetings!A:A,"&lt;"&amp;As_Of_Date-365),0)</f>
        <v/>
      </c>
    </row>
    <row r="9" ht="15" customHeight="1" s="52">
      <c r="A9" s="106" t="n">
        <v>5</v>
      </c>
      <c r="B9" s="65" t="inlineStr">
        <is>
          <t>New Pipeline Opps</t>
        </is>
      </c>
      <c r="C9" s="89">
        <f>COUNTIFS(Pipeline!G:G,"&gt;="&amp;As_Of_Date-7,Pipeline!G:G,"&lt;="&amp;As_Of_Date-0)</f>
        <v/>
      </c>
      <c r="D9" s="89">
        <f>COUNTIFS(Pipeline!G:G,"&gt;="&amp;As_Of_Date-14,Pipeline!G:G,"&lt;"&amp;As_Of_Date-7)</f>
        <v/>
      </c>
      <c r="E9" s="90">
        <f>IFERROR((C9-D9)/D9,0)</f>
        <v/>
      </c>
      <c r="F9" s="89">
        <f>COUNTIFS(Pipeline!G:G,"&gt;="&amp;As_Of_Date-30,Pipeline!G:G,"&lt;="&amp;As_Of_Date-0)</f>
        <v/>
      </c>
      <c r="G9" s="89">
        <f>COUNTIFS(Pipeline!G:G,"&gt;="&amp;As_Of_Date-60,Pipeline!G:G,"&lt;"&amp;As_Of_Date-30)</f>
        <v/>
      </c>
      <c r="H9" s="90">
        <f>IFERROR((F9-G9)/G9,0)</f>
        <v/>
      </c>
      <c r="I9" s="89">
        <f>Targets!D38</f>
        <v/>
      </c>
      <c r="J9" s="90">
        <f>IFERROR((F9-I9)/I9,0)</f>
        <v/>
      </c>
      <c r="K9" s="89">
        <f>COUNTIFS(Pipeline!G:G,"&gt;="&amp;As_Of_Date-91,Pipeline!G:G,"&lt;="&amp;As_Of_Date-0)</f>
        <v/>
      </c>
      <c r="L9" s="89">
        <f>COUNTIFS(Pipeline!G:G,"&gt;="&amp;As_Of_Date-182,Pipeline!G:G,"&lt;"&amp;As_Of_Date-91)</f>
        <v/>
      </c>
      <c r="M9" s="90">
        <f>IFERROR((K9-L9)/L9,0)</f>
        <v/>
      </c>
      <c r="N9" s="90">
        <f>IFERROR((COUNTIFS(Pipeline!G:G,"&gt;="&amp;As_Of_Date-365,Pipeline!G:G,"&lt;="&amp;As_Of_Date-0)-COUNTIFS(Pipeline!G:G,"&gt;="&amp;As_Of_Date-730,Pipeline!G:G,"&lt;"&amp;As_Of_Date-365))/COUNTIFS(Pipeline!G:G,"&gt;="&amp;As_Of_Date-730,Pipeline!G:G,"&lt;"&amp;As_Of_Date-365),0)</f>
        <v/>
      </c>
    </row>
    <row r="10"/>
    <row r="11"/>
    <row r="12" ht="15" customHeight="1" s="52">
      <c r="B12" s="58" t="inlineStr">
        <is>
          <t>FINANCIAL METRICS</t>
        </is>
      </c>
    </row>
    <row r="13" ht="15" customHeight="1" s="52">
      <c r="A13" s="106" t="n">
        <v>1</v>
      </c>
      <c r="B13" s="65" t="inlineStr">
        <is>
          <t>Revenue ($)</t>
        </is>
      </c>
      <c r="C13" s="91">
        <f>SUMIFS(Revenue_Ledger!E:E,Revenue_Ledger!A:A,"&gt;="&amp;As_Of_Date-7,Revenue_Ledger!A:A,"&lt;="&amp;As_Of_Date-0)</f>
        <v/>
      </c>
      <c r="D13" s="91">
        <f>SUMIFS(Revenue_Ledger!E:E,Revenue_Ledger!A:A,"&gt;="&amp;As_Of_Date-14,Revenue_Ledger!A:A,"&lt;"&amp;As_Of_Date-7)</f>
        <v/>
      </c>
      <c r="E13" s="90">
        <f>IFERROR((C13-D13)/D13,0)</f>
        <v/>
      </c>
      <c r="F13" s="91">
        <f>SUMIFS(Revenue_Ledger!E:E,Revenue_Ledger!A:A,"&gt;="&amp;As_Of_Date-30,Revenue_Ledger!A:A,"&lt;="&amp;As_Of_Date-0)</f>
        <v/>
      </c>
      <c r="G13" s="91">
        <f>SUMIFS(Revenue_Ledger!E:E,Revenue_Ledger!A:A,"&gt;="&amp;As_Of_Date-60,Revenue_Ledger!A:A,"&lt;"&amp;As_Of_Date-30)</f>
        <v/>
      </c>
      <c r="H13" s="90">
        <f>IFERROR((F13-G13)/G13,0)</f>
        <v/>
      </c>
      <c r="I13" s="91">
        <f>Targets!C5/12</f>
        <v/>
      </c>
      <c r="J13" s="90">
        <f>IFERROR((F13-I13)/I13,0)</f>
        <v/>
      </c>
      <c r="K13" s="91">
        <f>SUMIFS(Revenue_Ledger!E:E,Revenue_Ledger!A:A,"&gt;="&amp;As_Of_Date-91,Revenue_Ledger!A:A,"&lt;="&amp;As_Of_Date-0)</f>
        <v/>
      </c>
      <c r="L13" s="91">
        <f>SUMIFS(Revenue_Ledger!E:E,Revenue_Ledger!A:A,"&gt;="&amp;DATE(YEAR(As_Of_Date),1,1),Revenue_Ledger!A:A,"&lt;="&amp;As_Of_Date)</f>
        <v/>
      </c>
      <c r="M13" s="90">
        <f>IFERROR((K13-SUMIFS(Revenue_Ledger!E:E,Revenue_Ledger!A:A,"&gt;="&amp;As_Of_Date-182,Revenue_Ledger!A:A,"&lt;"&amp;As_Of_Date-91))/SUMIFS(Revenue_Ledger!E:E,Revenue_Ledger!A:A,"&gt;="&amp;As_Of_Date-182,Revenue_Ledger!A:A,"&lt;"&amp;As_Of_Date-91),0)</f>
        <v/>
      </c>
      <c r="N13" s="90">
        <f>IFERROR((SUMIFS(Revenue_Ledger!E:E,Revenue_Ledger!A:A,"&gt;="&amp;As_Of_Date-365,Revenue_Ledger!A:A,"&lt;="&amp;As_Of_Date-0)-SUMIFS(Revenue_Ledger!E:E,Revenue_Ledger!A:A,"&gt;="&amp;As_Of_Date-730,Revenue_Ledger!A:A,"&lt;"&amp;As_Of_Date-365))/SUMIFS(Revenue_Ledger!E:E,Revenue_Ledger!A:A,"&gt;="&amp;As_Of_Date-730,Revenue_Ledger!A:A,"&lt;"&amp;As_Of_Date-365),0)</f>
        <v/>
      </c>
    </row>
    <row r="14" ht="15" customHeight="1" s="52">
      <c r="A14" s="106" t="n">
        <v>2</v>
      </c>
      <c r="B14" s="65" t="inlineStr">
        <is>
          <t>Expenses ($)</t>
        </is>
      </c>
      <c r="C14" s="91">
        <f>SUMIFS(Expense_Ledger!D:D,Expense_Ledger!A:A,"&gt;="&amp;As_Of_Date-7,Expense_Ledger!A:A,"&lt;="&amp;As_Of_Date-0)</f>
        <v/>
      </c>
      <c r="D14" s="91">
        <f>SUMIFS(Expense_Ledger!D:D,Expense_Ledger!A:A,"&gt;="&amp;As_Of_Date-14,Expense_Ledger!A:A,"&lt;"&amp;As_Of_Date-7)</f>
        <v/>
      </c>
      <c r="E14" s="90">
        <f>IFERROR((C14-D14)/D14,0)</f>
        <v/>
      </c>
      <c r="F14" s="91">
        <f>SUMIFS(Expense_Ledger!D:D,Expense_Ledger!A:A,"&gt;="&amp;As_Of_Date-30,Expense_Ledger!A:A,"&lt;="&amp;As_Of_Date-0)</f>
        <v/>
      </c>
      <c r="G14" s="91">
        <f>SUMIFS(Expense_Ledger!D:D,Expense_Ledger!A:A,"&gt;="&amp;As_Of_Date-60,Expense_Ledger!A:A,"&lt;"&amp;As_Of_Date-30)</f>
        <v/>
      </c>
      <c r="H14" s="90">
        <f>IFERROR((F14-G14)/G14,0)</f>
        <v/>
      </c>
      <c r="I14" s="91">
        <f>Targets!C6/12</f>
        <v/>
      </c>
      <c r="J14" s="90">
        <f>IFERROR((F14-I14)/I14,0)</f>
        <v/>
      </c>
      <c r="K14" s="91">
        <f>SUMIFS(Expense_Ledger!D:D,Expense_Ledger!A:A,"&gt;="&amp;As_Of_Date-91,Expense_Ledger!A:A,"&lt;="&amp;As_Of_Date-0)</f>
        <v/>
      </c>
      <c r="L14" s="91">
        <f>SUMIFS(Expense_Ledger!D:D,Expense_Ledger!A:A,"&gt;="&amp;DATE(YEAR(As_Of_Date),1,1),Expense_Ledger!A:A,"&lt;="&amp;As_Of_Date)</f>
        <v/>
      </c>
      <c r="M14" s="90">
        <f>IFERROR((K14-SUMIFS(Expense_Ledger!D:D,Expense_Ledger!A:A,"&gt;="&amp;As_Of_Date-182,Expense_Ledger!A:A,"&lt;"&amp;As_Of_Date-91))/SUMIFS(Expense_Ledger!D:D,Expense_Ledger!A:A,"&gt;="&amp;As_Of_Date-182,Expense_Ledger!A:A,"&lt;"&amp;As_Of_Date-91),0)</f>
        <v/>
      </c>
      <c r="N14" s="90">
        <f>IFERROR((SUMIFS(Expense_Ledger!D:D,Expense_Ledger!A:A,"&gt;="&amp;As_Of_Date-365,Expense_Ledger!A:A,"&lt;="&amp;As_Of_Date-0)-SUMIFS(Expense_Ledger!D:D,Expense_Ledger!A:A,"&gt;="&amp;As_Of_Date-730,Expense_Ledger!A:A,"&lt;"&amp;As_Of_Date-365))/SUMIFS(Expense_Ledger!D:D,Expense_Ledger!A:A,"&gt;="&amp;As_Of_Date-730,Expense_Ledger!A:A,"&lt;"&amp;As_Of_Date-365),0)</f>
        <v/>
      </c>
    </row>
    <row r="15" ht="15" customHeight="1" s="52">
      <c r="A15" s="106" t="n">
        <v>3</v>
      </c>
      <c r="B15" s="65" t="inlineStr">
        <is>
          <t>Net P/L ($)</t>
        </is>
      </c>
      <c r="C15" s="91">
        <f>C13-C14</f>
        <v/>
      </c>
      <c r="D15" s="91">
        <f>D13-D14</f>
        <v/>
      </c>
      <c r="E15" s="90">
        <f>IFERROR((C15-D15)/D15,0)</f>
        <v/>
      </c>
      <c r="F15" s="91">
        <f>F13-F14</f>
        <v/>
      </c>
      <c r="G15" s="91">
        <f>G13-G14</f>
        <v/>
      </c>
      <c r="H15" s="90">
        <f>IFERROR((F15-G15)/G15,0)</f>
        <v/>
      </c>
      <c r="I15" s="91">
        <f>I13-I14</f>
        <v/>
      </c>
      <c r="J15" s="90">
        <f>IFERROR((F15-I15)/IF(I15=0,1,ABS(I15)),0)</f>
        <v/>
      </c>
      <c r="K15" s="91">
        <f>K13-K14</f>
        <v/>
      </c>
      <c r="L15" s="91">
        <f>L13-L14</f>
        <v/>
      </c>
      <c r="M15" s="90">
        <f>IFERROR((K15-((SUMIFS(Revenue_Ledger!E:E,Revenue_Ledger!A:A,"&gt;="&amp;As_Of_Date-182,Revenue_Ledger!A:A,"&lt;"&amp;As_Of_Date-91))-(SUMIFS(Expense_Ledger!D:D,Expense_Ledger!A:A,"&gt;="&amp;As_Of_Date-182,Expense_Ledger!A:A,"&lt;"&amp;As_Of_Date-91))))/IF(((SUMIFS(Revenue_Ledger!E:E,Revenue_Ledger!A:A,"&gt;="&amp;As_Of_Date-182,Revenue_Ledger!A:A,"&lt;"&amp;As_Of_Date-91))-(SUMIFS(Expense_Ledger!D:D,Expense_Ledger!A:A,"&gt;="&amp;As_Of_Date-182,Expense_Ledger!A:A,"&lt;"&amp;As_Of_Date-91)))=0,1,ABS((SUMIFS(Revenue_Ledger!E:E,Revenue_Ledger!A:A,"&gt;="&amp;As_Of_Date-182,Revenue_Ledger!A:A,"&lt;"&amp;As_Of_Date-91))-(SUMIFS(Expense_Ledger!D:D,Expense_Ledger!A:A,"&gt;="&amp;As_Of_Date-182,Expense_Ledger!A:A,"&lt;"&amp;As_Of_Date-91)))),0)</f>
        <v/>
      </c>
      <c r="N15" s="90" t="n">
        <v>0</v>
      </c>
    </row>
    <row r="16"/>
    <row r="17"/>
    <row r="18" ht="15" customHeight="1" s="52">
      <c r="B18" s="74" t="inlineStr">
        <is>
          <t>Legend:</t>
        </is>
      </c>
    </row>
    <row r="19" ht="15" customHeight="1" s="52">
      <c r="B19" s="57" t="inlineStr">
        <is>
          <t>• T-7d = trailing 7 days through As_Of_Date  |  Prior 7d = the 7 days before that</t>
        </is>
      </c>
    </row>
    <row r="20" ht="15" customHeight="1" s="52">
      <c r="B20" s="57" t="inlineStr">
        <is>
          <t>• T-30d, T-91d, T-365d same logic.  YoY uses 365-day windows.</t>
        </is>
      </c>
    </row>
    <row r="21" ht="15" customHeight="1" s="52">
      <c r="B21" s="57" t="inlineStr">
        <is>
          <t>• "vs Target" compares T-30d actual against monthly target (negative = behind plan).</t>
        </is>
      </c>
    </row>
    <row r="22" ht="15" customHeight="1" s="52">
      <c r="B22" s="57" t="inlineStr">
        <is>
          <t>• Pipeline opp counts use "Date Identified" (col G on Pipeline sheet).</t>
        </is>
      </c>
    </row>
  </sheetData>
  <mergeCells count="2">
    <mergeCell ref="A2:N2"/>
    <mergeCell ref="A1:N1"/>
  </mergeCells>
  <conditionalFormatting sqref="E5:E15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H5:H15">
    <cfRule type="cellIs" rank="0" priority="4" equalAverage="0" operator="lessThan" aboveAverage="0" dxfId="0" text="" percent="0" bottom="0">
      <formula>0</formula>
    </cfRule>
    <cfRule type="cellIs" rank="0" priority="5" equalAverage="0" operator="greaterThan" aboveAverage="0" dxfId="1" text="" percent="0" bottom="0">
      <formula>0</formula>
    </cfRule>
  </conditionalFormatting>
  <conditionalFormatting sqref="J5:J15">
    <cfRule type="cellIs" rank="0" priority="6" equalAverage="0" operator="lessThan" aboveAverage="0" dxfId="0" text="" percent="0" bottom="0">
      <formula>0</formula>
    </cfRule>
    <cfRule type="cellIs" rank="0" priority="7" equalAverage="0" operator="greaterThan" aboveAverage="0" dxfId="1" text="" percent="0" bottom="0">
      <formula>0</formula>
    </cfRule>
  </conditionalFormatting>
  <conditionalFormatting sqref="M5:M15">
    <cfRule type="cellIs" rank="0" priority="8" equalAverage="0" operator="lessThan" aboveAverage="0" dxfId="0" text="" percent="0" bottom="0">
      <formula>0</formula>
    </cfRule>
    <cfRule type="cellIs" rank="0" priority="9" equalAverage="0" operator="greaterThan" aboveAverage="0" dxfId="1" text="" percent="0" bottom="0">
      <formula>0</formula>
    </cfRule>
  </conditionalFormatting>
  <conditionalFormatting sqref="N5:N15">
    <cfRule type="cellIs" rank="0" priority="10" equalAverage="0" operator="lessThan" aboveAverage="0" dxfId="0" text="" percent="0" bottom="0">
      <formula>0</formula>
    </cfRule>
    <cfRule type="cellIs" rank="0" priority="11" equalAverage="0" operator="greaterThan" aboveAverage="0" dxfId="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H19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24" customWidth="1" style="51" min="2" max="2"/>
    <col width="16" customWidth="1" style="51" min="3" max="3"/>
    <col width="14" customWidth="1" style="51" min="4" max="4"/>
    <col width="16" customWidth="1" style="51" min="5" max="6"/>
    <col width="14" customWidth="1" style="51" min="7" max="7"/>
    <col width="30" customWidth="1" style="51" min="8" max="8"/>
  </cols>
  <sheetData>
    <row r="1" ht="27.75" customHeight="1" s="52">
      <c r="A1" s="53" t="inlineStr">
        <is>
          <t xml:space="preserve">  REVENUE LEDGER  —  Add one row per invoice</t>
        </is>
      </c>
    </row>
    <row r="2" ht="21.75" customHeight="1" s="52">
      <c r="A2" s="54" t="inlineStr">
        <is>
          <t xml:space="preserve">  Add new rows as invoices are issued. "Amount Invoiced" feeds revenue metrics. Payments tracked for cash-flow view.</t>
        </is>
      </c>
    </row>
    <row r="3"/>
    <row r="4" ht="30" customHeight="1" s="52">
      <c r="A4" s="64" t="inlineStr">
        <is>
          <t>Invoice Date</t>
        </is>
      </c>
      <c r="B4" s="64" t="inlineStr">
        <is>
          <t>Client</t>
        </is>
      </c>
      <c r="C4" s="64" t="inlineStr">
        <is>
          <t>Contract #</t>
        </is>
      </c>
      <c r="D4" s="64" t="inlineStr">
        <is>
          <t>Invoice #</t>
        </is>
      </c>
      <c r="E4" s="64" t="inlineStr">
        <is>
          <t>Amount Invoiced</t>
        </is>
      </c>
      <c r="F4" s="64" t="inlineStr">
        <is>
          <t>Amount Paid</t>
        </is>
      </c>
      <c r="G4" s="64" t="inlineStr">
        <is>
          <t>Payment Date</t>
        </is>
      </c>
      <c r="H4" s="64" t="inlineStr">
        <is>
          <t>Notes</t>
        </is>
      </c>
    </row>
    <row r="5" ht="15" customHeight="1" s="52">
      <c r="A5" s="102" t="n">
        <v>46053</v>
      </c>
      <c r="B5" s="100" t="inlineStr">
        <is>
          <t>First Brands Group</t>
        </is>
      </c>
      <c r="C5" s="100" t="inlineStr">
        <is>
          <t>FBG-2026-CY</t>
        </is>
      </c>
      <c r="D5" s="100" t="inlineStr">
        <is>
          <t>INV-2026-002</t>
        </is>
      </c>
      <c r="E5" s="101" t="n">
        <v>2500</v>
      </c>
      <c r="F5" s="101" t="n">
        <v>2500</v>
      </c>
      <c r="G5" s="102" t="n">
        <v>46083</v>
      </c>
      <c r="H5" s="100" t="inlineStr">
        <is>
          <t>Monthly retainer — Jan 2026</t>
        </is>
      </c>
    </row>
    <row r="6" ht="15" customHeight="1" s="52">
      <c r="A6" s="102" t="n">
        <v>46081</v>
      </c>
      <c r="B6" s="100" t="inlineStr">
        <is>
          <t>First Brands Group</t>
        </is>
      </c>
      <c r="C6" s="100" t="inlineStr">
        <is>
          <t>FBG-2026-CY</t>
        </is>
      </c>
      <c r="D6" s="100" t="inlineStr">
        <is>
          <t>INV-2026-004</t>
        </is>
      </c>
      <c r="E6" s="101" t="n">
        <v>2500</v>
      </c>
      <c r="F6" s="101" t="n">
        <v>2500</v>
      </c>
      <c r="G6" s="102" t="n">
        <v>46111</v>
      </c>
      <c r="H6" s="100" t="inlineStr">
        <is>
          <t>Monthly retainer — Feb 2026</t>
        </is>
      </c>
    </row>
    <row r="7" ht="15" customHeight="1" s="52">
      <c r="A7" s="102" t="n">
        <v>46112</v>
      </c>
      <c r="B7" s="100" t="inlineStr">
        <is>
          <t>First Brands Group</t>
        </is>
      </c>
      <c r="C7" s="100" t="inlineStr">
        <is>
          <t>FBG-2026-CY</t>
        </is>
      </c>
      <c r="D7" s="100" t="inlineStr">
        <is>
          <t>INV-2026-006</t>
        </is>
      </c>
      <c r="E7" s="101" t="n">
        <v>2500</v>
      </c>
      <c r="F7" s="101" t="n">
        <v>2500</v>
      </c>
      <c r="G7" s="102" t="n">
        <v>46142</v>
      </c>
      <c r="H7" s="100" t="inlineStr">
        <is>
          <t>Monthly retainer — Mar 2026</t>
        </is>
      </c>
    </row>
    <row r="8" ht="15" customHeight="1" s="52">
      <c r="A8" s="102" t="n">
        <v>46142</v>
      </c>
      <c r="B8" s="100" t="inlineStr">
        <is>
          <t>First Brands Group</t>
        </is>
      </c>
      <c r="C8" s="100" t="inlineStr">
        <is>
          <t>FBG-2026-CY</t>
        </is>
      </c>
      <c r="D8" s="100" t="inlineStr">
        <is>
          <t>INV-2026-008</t>
        </is>
      </c>
      <c r="E8" s="101" t="n">
        <v>2500</v>
      </c>
      <c r="F8" s="101" t="n">
        <v>2500</v>
      </c>
      <c r="G8" s="102" t="n">
        <v>46171</v>
      </c>
      <c r="H8" s="100" t="inlineStr">
        <is>
          <t>Monthly retainer — Apr 2026</t>
        </is>
      </c>
    </row>
    <row r="9" ht="15" customHeight="1" s="52">
      <c r="A9" s="102" t="n">
        <v>46173</v>
      </c>
      <c r="B9" s="100" t="inlineStr">
        <is>
          <t>HCPSS</t>
        </is>
      </c>
      <c r="C9" s="100" t="inlineStr">
        <is>
          <t>HCPSS-2026-CY</t>
        </is>
      </c>
      <c r="D9" s="100" t="inlineStr">
        <is>
          <t>INV-2026-009</t>
        </is>
      </c>
      <c r="E9" s="101" t="n">
        <v>11200</v>
      </c>
      <c r="F9" s="100" t="n">
        <v>11200</v>
      </c>
      <c r="G9" s="102" t="n">
        <v>46202</v>
      </c>
      <c r="H9" s="100" t="inlineStr">
        <is>
          <t>Monthly retainer — May 2026</t>
        </is>
      </c>
    </row>
    <row r="10" ht="15" customHeight="1" s="52">
      <c r="A10" s="102" t="n">
        <v>46173</v>
      </c>
      <c r="B10" s="100" t="inlineStr">
        <is>
          <t>First Brands Group</t>
        </is>
      </c>
      <c r="C10" s="100" t="inlineStr">
        <is>
          <t>FBG-2026-CY</t>
        </is>
      </c>
      <c r="D10" s="100" t="inlineStr">
        <is>
          <t>INV-2026-010</t>
        </is>
      </c>
      <c r="E10" s="101" t="n">
        <v>2500</v>
      </c>
      <c r="F10" s="100" t="n">
        <v>2500</v>
      </c>
      <c r="G10" s="102" t="n">
        <v>46202</v>
      </c>
      <c r="H10" s="100" t="inlineStr">
        <is>
          <t>Monthly retainer — May 2026</t>
        </is>
      </c>
    </row>
    <row r="11" ht="15" customHeight="1" s="52">
      <c r="A11" s="102" t="n">
        <v>46203</v>
      </c>
      <c r="B11" s="100" t="inlineStr">
        <is>
          <t>HCPSS</t>
        </is>
      </c>
      <c r="C11" s="100" t="inlineStr">
        <is>
          <t>HCPSS-2026-CY</t>
        </is>
      </c>
      <c r="D11" s="100" t="inlineStr">
        <is>
          <t>INV-2026-011</t>
        </is>
      </c>
      <c r="E11" s="101" t="n">
        <v>11200</v>
      </c>
      <c r="F11" s="101" t="n">
        <v>11200</v>
      </c>
      <c r="G11" s="102" t="n">
        <v>46232</v>
      </c>
      <c r="H11" s="100" t="inlineStr">
        <is>
          <t>Monthly retainer — Jun 2026</t>
        </is>
      </c>
    </row>
    <row r="12" ht="15" customHeight="1" s="52">
      <c r="A12" s="102" t="n">
        <v>46203</v>
      </c>
      <c r="B12" s="100" t="inlineStr">
        <is>
          <t>First Brands Group</t>
        </is>
      </c>
      <c r="C12" s="100" t="inlineStr">
        <is>
          <t>FBG-2026-CY</t>
        </is>
      </c>
      <c r="D12" s="100" t="inlineStr">
        <is>
          <t>INV-2026-012</t>
        </is>
      </c>
      <c r="E12" s="101" t="n">
        <v>2500</v>
      </c>
      <c r="F12" s="101" t="n">
        <v>2500</v>
      </c>
      <c r="G12" s="102" t="n">
        <v>46232</v>
      </c>
      <c r="H12" s="100" t="inlineStr">
        <is>
          <t>Monthly retainer — Jun 2026</t>
        </is>
      </c>
    </row>
    <row r="13" ht="15" customHeight="1" s="52">
      <c r="A13" s="102" t="n"/>
      <c r="B13" s="100" t="n"/>
      <c r="C13" s="100" t="n"/>
      <c r="D13" s="100" t="n"/>
      <c r="E13" s="101" t="n"/>
      <c r="F13" s="101" t="n"/>
      <c r="G13" s="102" t="n"/>
      <c r="H13" s="100" t="n"/>
    </row>
    <row r="14" ht="15" customHeight="1" s="52">
      <c r="A14" s="102" t="n"/>
      <c r="B14" s="100" t="n"/>
      <c r="C14" s="100" t="n"/>
      <c r="D14" s="100" t="n"/>
      <c r="E14" s="101" t="n"/>
      <c r="F14" s="101" t="n"/>
      <c r="G14" s="102" t="n"/>
      <c r="H14" s="100" t="n"/>
    </row>
    <row r="15" ht="15" customHeight="1" s="52">
      <c r="A15" s="102" t="n"/>
      <c r="B15" s="100" t="n"/>
      <c r="C15" s="100" t="n"/>
      <c r="D15" s="100" t="n"/>
      <c r="E15" s="101" t="n"/>
      <c r="F15" s="101" t="n"/>
      <c r="G15" s="102" t="n"/>
      <c r="H15" s="100" t="n"/>
    </row>
    <row r="16" ht="15" customHeight="1" s="52">
      <c r="A16" s="102" t="n"/>
      <c r="B16" s="100" t="n"/>
      <c r="C16" s="100" t="n"/>
      <c r="D16" s="100" t="n"/>
      <c r="E16" s="101" t="n"/>
      <c r="F16" s="101" t="n"/>
      <c r="G16" s="102" t="n"/>
      <c r="H16" s="100" t="n"/>
    </row>
    <row r="17" ht="15" customHeight="1" s="52">
      <c r="A17" s="102" t="n"/>
      <c r="B17" s="100" t="n"/>
      <c r="C17" s="100" t="n"/>
      <c r="D17" s="100" t="n"/>
      <c r="E17" s="101" t="n"/>
      <c r="F17" s="101" t="n"/>
      <c r="G17" s="102" t="n"/>
      <c r="H17" s="100" t="n"/>
    </row>
    <row r="18" ht="15" customHeight="1" s="52">
      <c r="A18" s="102" t="n"/>
      <c r="B18" s="100" t="n"/>
      <c r="C18" s="100" t="n"/>
      <c r="D18" s="100" t="n"/>
      <c r="E18" s="101" t="n"/>
      <c r="F18" s="101" t="n"/>
      <c r="G18" s="102" t="n"/>
      <c r="H18" s="100" t="n"/>
    </row>
    <row r="19" ht="15" customHeight="1" s="52">
      <c r="A19" s="102" t="n"/>
      <c r="B19" s="100" t="n"/>
      <c r="C19" s="100" t="n"/>
      <c r="D19" s="100" t="n"/>
      <c r="E19" s="101" t="n"/>
      <c r="F19" s="101" t="n"/>
      <c r="G19" s="102" t="n"/>
      <c r="H19" s="100" t="n"/>
    </row>
    <row r="20" ht="15" customHeight="1" s="52">
      <c r="A20" s="102" t="n"/>
      <c r="B20" s="100" t="n"/>
      <c r="C20" s="100" t="n"/>
      <c r="D20" s="100" t="n"/>
      <c r="E20" s="101" t="n"/>
      <c r="F20" s="101" t="n"/>
      <c r="G20" s="102" t="n"/>
      <c r="H20" s="100" t="n"/>
    </row>
    <row r="21" ht="15" customHeight="1" s="52">
      <c r="A21" s="102" t="n"/>
      <c r="B21" s="100" t="n"/>
      <c r="C21" s="100" t="n"/>
      <c r="D21" s="100" t="n"/>
      <c r="E21" s="101" t="n"/>
      <c r="F21" s="101" t="n"/>
      <c r="G21" s="102" t="n"/>
      <c r="H21" s="100" t="n"/>
    </row>
    <row r="22" ht="15" customHeight="1" s="52">
      <c r="A22" s="102" t="n"/>
      <c r="B22" s="100" t="n"/>
      <c r="C22" s="100" t="n"/>
      <c r="D22" s="100" t="n"/>
      <c r="E22" s="101" t="n"/>
      <c r="F22" s="101" t="n"/>
      <c r="G22" s="102" t="n"/>
      <c r="H22" s="100" t="n"/>
    </row>
    <row r="23" ht="15" customHeight="1" s="52">
      <c r="A23" s="102" t="n"/>
      <c r="B23" s="100" t="n"/>
      <c r="C23" s="100" t="n"/>
      <c r="D23" s="100" t="n"/>
      <c r="E23" s="101" t="n"/>
      <c r="F23" s="101" t="n"/>
      <c r="G23" s="102" t="n"/>
      <c r="H23" s="100" t="n"/>
    </row>
    <row r="24" ht="15" customHeight="1" s="52">
      <c r="A24" s="102" t="n"/>
      <c r="B24" s="100" t="n"/>
      <c r="C24" s="100" t="n"/>
      <c r="D24" s="100" t="n"/>
      <c r="E24" s="101" t="n"/>
      <c r="F24" s="101" t="n"/>
      <c r="G24" s="102" t="n"/>
      <c r="H24" s="100" t="n"/>
    </row>
    <row r="25" ht="15" customHeight="1" s="52">
      <c r="A25" s="102" t="n"/>
      <c r="B25" s="100" t="n"/>
      <c r="C25" s="100" t="n"/>
      <c r="D25" s="100" t="n"/>
      <c r="E25" s="101" t="n"/>
      <c r="F25" s="101" t="n"/>
      <c r="G25" s="102" t="n"/>
      <c r="H25" s="100" t="n"/>
    </row>
    <row r="26" ht="15" customHeight="1" s="52">
      <c r="A26" s="102" t="n"/>
      <c r="B26" s="100" t="n"/>
      <c r="C26" s="100" t="n"/>
      <c r="D26" s="100" t="n"/>
      <c r="E26" s="101" t="n"/>
      <c r="F26" s="101" t="n"/>
      <c r="G26" s="102" t="n"/>
      <c r="H26" s="100" t="n"/>
    </row>
    <row r="27" ht="15" customHeight="1" s="52">
      <c r="A27" s="102" t="n"/>
      <c r="B27" s="100" t="n"/>
      <c r="C27" s="100" t="n"/>
      <c r="D27" s="100" t="n"/>
      <c r="E27" s="101" t="n"/>
      <c r="F27" s="101" t="n"/>
      <c r="G27" s="102" t="n"/>
      <c r="H27" s="100" t="n"/>
    </row>
    <row r="28" ht="15" customHeight="1" s="52">
      <c r="A28" s="102" t="n"/>
      <c r="B28" s="100" t="n"/>
      <c r="C28" s="100" t="n"/>
      <c r="D28" s="100" t="n"/>
      <c r="E28" s="101" t="n"/>
      <c r="F28" s="101" t="n"/>
      <c r="G28" s="102" t="n"/>
      <c r="H28" s="100" t="n"/>
    </row>
    <row r="29" ht="15" customHeight="1" s="52">
      <c r="A29" s="102" t="n"/>
      <c r="B29" s="100" t="n"/>
      <c r="C29" s="100" t="n"/>
      <c r="D29" s="100" t="n"/>
      <c r="E29" s="101" t="n"/>
      <c r="F29" s="101" t="n"/>
      <c r="G29" s="102" t="n"/>
      <c r="H29" s="100" t="n"/>
    </row>
    <row r="30" ht="15" customHeight="1" s="52">
      <c r="A30" s="102" t="n"/>
      <c r="B30" s="100" t="n"/>
      <c r="C30" s="100" t="n"/>
      <c r="D30" s="100" t="n"/>
      <c r="E30" s="101" t="n"/>
      <c r="F30" s="101" t="n"/>
      <c r="G30" s="102" t="n"/>
      <c r="H30" s="100" t="n"/>
    </row>
    <row r="31" ht="15" customHeight="1" s="52">
      <c r="A31" s="102" t="n"/>
      <c r="B31" s="100" t="n"/>
      <c r="C31" s="100" t="n"/>
      <c r="D31" s="100" t="n"/>
      <c r="E31" s="101" t="n"/>
      <c r="F31" s="101" t="n"/>
      <c r="G31" s="102" t="n"/>
      <c r="H31" s="100" t="n"/>
    </row>
    <row r="32" ht="15" customHeight="1" s="52">
      <c r="A32" s="102" t="n"/>
      <c r="B32" s="100" t="n"/>
      <c r="C32" s="100" t="n"/>
      <c r="D32" s="100" t="n"/>
      <c r="E32" s="101" t="n"/>
      <c r="F32" s="101" t="n"/>
      <c r="G32" s="102" t="n"/>
      <c r="H32" s="100" t="n"/>
    </row>
    <row r="33" ht="15" customHeight="1" s="52">
      <c r="A33" s="102" t="n"/>
      <c r="B33" s="100" t="n"/>
      <c r="C33" s="100" t="n"/>
      <c r="D33" s="100" t="n"/>
      <c r="E33" s="101" t="n"/>
      <c r="F33" s="101" t="n"/>
      <c r="G33" s="102" t="n"/>
      <c r="H33" s="100" t="n"/>
    </row>
    <row r="34" ht="15" customHeight="1" s="52">
      <c r="A34" s="102" t="n"/>
      <c r="B34" s="100" t="n"/>
      <c r="C34" s="100" t="n"/>
      <c r="D34" s="100" t="n"/>
      <c r="E34" s="101" t="n"/>
      <c r="F34" s="101" t="n"/>
      <c r="G34" s="102" t="n"/>
      <c r="H34" s="100" t="n"/>
    </row>
    <row r="35" ht="15" customHeight="1" s="52">
      <c r="A35" s="102" t="n"/>
      <c r="B35" s="100" t="n"/>
      <c r="C35" s="100" t="n"/>
      <c r="D35" s="100" t="n"/>
      <c r="E35" s="101" t="n"/>
      <c r="F35" s="101" t="n"/>
      <c r="G35" s="102" t="n"/>
      <c r="H35" s="100" t="n"/>
    </row>
    <row r="36" ht="15" customHeight="1" s="52">
      <c r="A36" s="102" t="n"/>
      <c r="B36" s="100" t="n"/>
      <c r="C36" s="100" t="n"/>
      <c r="D36" s="100" t="n"/>
      <c r="E36" s="101" t="n"/>
      <c r="F36" s="101" t="n"/>
      <c r="G36" s="102" t="n"/>
      <c r="H36" s="100" t="n"/>
    </row>
    <row r="37" ht="15" customHeight="1" s="52">
      <c r="A37" s="102" t="n"/>
      <c r="B37" s="100" t="n"/>
      <c r="C37" s="100" t="n"/>
      <c r="D37" s="100" t="n"/>
      <c r="E37" s="101" t="n"/>
      <c r="F37" s="101" t="n"/>
      <c r="G37" s="102" t="n"/>
      <c r="H37" s="100" t="n"/>
    </row>
    <row r="38" ht="15" customHeight="1" s="52">
      <c r="A38" s="102" t="n"/>
      <c r="B38" s="100" t="n"/>
      <c r="C38" s="100" t="n"/>
      <c r="D38" s="100" t="n"/>
      <c r="E38" s="101" t="n"/>
      <c r="F38" s="101" t="n"/>
      <c r="G38" s="102" t="n"/>
      <c r="H38" s="100" t="n"/>
    </row>
    <row r="39" ht="15" customHeight="1" s="52">
      <c r="A39" s="102" t="n"/>
      <c r="B39" s="100" t="n"/>
      <c r="C39" s="100" t="n"/>
      <c r="D39" s="100" t="n"/>
      <c r="E39" s="101" t="n"/>
      <c r="F39" s="101" t="n"/>
      <c r="G39" s="102" t="n"/>
      <c r="H39" s="100" t="n"/>
    </row>
    <row r="40" ht="15" customHeight="1" s="52">
      <c r="A40" s="102" t="n"/>
      <c r="B40" s="100" t="n"/>
      <c r="C40" s="100" t="n"/>
      <c r="D40" s="100" t="n"/>
      <c r="E40" s="101" t="n"/>
      <c r="F40" s="101" t="n"/>
      <c r="G40" s="102" t="n"/>
      <c r="H40" s="100" t="n"/>
    </row>
    <row r="41" ht="15" customHeight="1" s="52">
      <c r="A41" s="102" t="n"/>
      <c r="B41" s="100" t="n"/>
      <c r="C41" s="100" t="n"/>
      <c r="D41" s="100" t="n"/>
      <c r="E41" s="101" t="n"/>
      <c r="F41" s="101" t="n"/>
      <c r="G41" s="102" t="n"/>
      <c r="H41" s="100" t="n"/>
    </row>
    <row r="42" ht="15" customHeight="1" s="52">
      <c r="A42" s="102" t="n"/>
      <c r="B42" s="100" t="n"/>
      <c r="C42" s="100" t="n"/>
      <c r="D42" s="100" t="n"/>
      <c r="E42" s="101" t="n"/>
      <c r="F42" s="101" t="n"/>
      <c r="G42" s="102" t="n"/>
      <c r="H42" s="100" t="n"/>
    </row>
    <row r="43" ht="15" customHeight="1" s="52">
      <c r="A43" s="102" t="n"/>
      <c r="B43" s="100" t="n"/>
      <c r="C43" s="100" t="n"/>
      <c r="D43" s="100" t="n"/>
      <c r="E43" s="101" t="n"/>
      <c r="F43" s="101" t="n"/>
      <c r="G43" s="102" t="n"/>
      <c r="H43" s="100" t="n"/>
    </row>
    <row r="44" ht="15" customHeight="1" s="52">
      <c r="A44" s="102" t="n"/>
      <c r="B44" s="100" t="n"/>
      <c r="C44" s="100" t="n"/>
      <c r="D44" s="100" t="n"/>
      <c r="E44" s="101" t="n"/>
      <c r="F44" s="101" t="n"/>
      <c r="G44" s="102" t="n"/>
      <c r="H44" s="100" t="n"/>
    </row>
    <row r="45" ht="15" customHeight="1" s="52">
      <c r="A45" s="102" t="n"/>
      <c r="B45" s="100" t="n"/>
      <c r="C45" s="100" t="n"/>
      <c r="D45" s="100" t="n"/>
      <c r="E45" s="101" t="n"/>
      <c r="F45" s="101" t="n"/>
      <c r="G45" s="102" t="n"/>
      <c r="H45" s="100" t="n"/>
    </row>
    <row r="46" ht="15" customHeight="1" s="52">
      <c r="A46" s="102" t="n"/>
      <c r="B46" s="100" t="n"/>
      <c r="C46" s="100" t="n"/>
      <c r="D46" s="100" t="n"/>
      <c r="E46" s="101" t="n"/>
      <c r="F46" s="101" t="n"/>
      <c r="G46" s="102" t="n"/>
      <c r="H46" s="100" t="n"/>
    </row>
    <row r="47" ht="15" customHeight="1" s="52">
      <c r="A47" s="102" t="n"/>
      <c r="B47" s="100" t="n"/>
      <c r="C47" s="100" t="n"/>
      <c r="D47" s="100" t="n"/>
      <c r="E47" s="101" t="n"/>
      <c r="F47" s="101" t="n"/>
      <c r="G47" s="102" t="n"/>
      <c r="H47" s="100" t="n"/>
    </row>
    <row r="48" ht="15" customHeight="1" s="52">
      <c r="A48" s="102" t="n"/>
      <c r="B48" s="100" t="n"/>
      <c r="C48" s="100" t="n"/>
      <c r="D48" s="100" t="n"/>
      <c r="E48" s="101" t="n"/>
      <c r="F48" s="101" t="n"/>
      <c r="G48" s="102" t="n"/>
      <c r="H48" s="100" t="n"/>
    </row>
    <row r="49" ht="15" customHeight="1" s="52">
      <c r="A49" s="102" t="n"/>
      <c r="B49" s="100" t="n"/>
      <c r="C49" s="100" t="n"/>
      <c r="D49" s="100" t="n"/>
      <c r="E49" s="101" t="n"/>
      <c r="F49" s="101" t="n"/>
      <c r="G49" s="102" t="n"/>
      <c r="H49" s="100" t="n"/>
    </row>
    <row r="50" ht="15" customHeight="1" s="52">
      <c r="A50" s="102" t="n"/>
      <c r="B50" s="100" t="n"/>
      <c r="C50" s="100" t="n"/>
      <c r="D50" s="100" t="n"/>
      <c r="E50" s="101" t="n"/>
      <c r="F50" s="101" t="n"/>
      <c r="G50" s="102" t="n"/>
      <c r="H50" s="100" t="n"/>
    </row>
    <row r="51" ht="15" customHeight="1" s="52">
      <c r="A51" s="102" t="n"/>
      <c r="B51" s="100" t="n"/>
      <c r="C51" s="100" t="n"/>
      <c r="D51" s="100" t="n"/>
      <c r="E51" s="101" t="n"/>
      <c r="F51" s="101" t="n"/>
      <c r="G51" s="102" t="n"/>
      <c r="H51" s="100" t="n"/>
    </row>
    <row r="52" ht="15" customHeight="1" s="52">
      <c r="A52" s="102" t="n"/>
      <c r="B52" s="100" t="n"/>
      <c r="C52" s="100" t="n"/>
      <c r="D52" s="100" t="n"/>
      <c r="E52" s="101" t="n"/>
      <c r="F52" s="101" t="n"/>
      <c r="G52" s="102" t="n"/>
      <c r="H52" s="100" t="n"/>
    </row>
    <row r="53" ht="15" customHeight="1" s="52">
      <c r="A53" s="102" t="n"/>
      <c r="B53" s="100" t="n"/>
      <c r="C53" s="100" t="n"/>
      <c r="D53" s="100" t="n"/>
      <c r="E53" s="101" t="n"/>
      <c r="F53" s="101" t="n"/>
      <c r="G53" s="102" t="n"/>
      <c r="H53" s="100" t="n"/>
    </row>
    <row r="54" ht="15" customHeight="1" s="52">
      <c r="A54" s="102" t="n"/>
      <c r="B54" s="100" t="n"/>
      <c r="C54" s="100" t="n"/>
      <c r="D54" s="100" t="n"/>
      <c r="E54" s="101" t="n"/>
      <c r="F54" s="101" t="n"/>
      <c r="G54" s="102" t="n"/>
      <c r="H54" s="100" t="n"/>
    </row>
    <row r="55" ht="15" customHeight="1" s="52">
      <c r="A55" s="102" t="n"/>
      <c r="B55" s="100" t="n"/>
      <c r="C55" s="100" t="n"/>
      <c r="D55" s="100" t="n"/>
      <c r="E55" s="101" t="n"/>
      <c r="F55" s="101" t="n"/>
      <c r="G55" s="102" t="n"/>
      <c r="H55" s="100" t="n"/>
    </row>
    <row r="56" ht="15" customHeight="1" s="52">
      <c r="A56" s="102" t="n"/>
      <c r="B56" s="100" t="n"/>
      <c r="C56" s="100" t="n"/>
      <c r="D56" s="100" t="n"/>
      <c r="E56" s="101" t="n"/>
      <c r="F56" s="101" t="n"/>
      <c r="G56" s="102" t="n"/>
      <c r="H56" s="100" t="n"/>
    </row>
    <row r="57" ht="15" customHeight="1" s="52">
      <c r="A57" s="102" t="n"/>
      <c r="B57" s="100" t="n"/>
      <c r="C57" s="100" t="n"/>
      <c r="D57" s="100" t="n"/>
      <c r="E57" s="101" t="n"/>
      <c r="F57" s="101" t="n"/>
      <c r="G57" s="102" t="n"/>
      <c r="H57" s="100" t="n"/>
    </row>
    <row r="58" ht="15" customHeight="1" s="52">
      <c r="A58" s="102" t="n"/>
      <c r="B58" s="100" t="n"/>
      <c r="C58" s="100" t="n"/>
      <c r="D58" s="100" t="n"/>
      <c r="E58" s="101" t="n"/>
      <c r="F58" s="101" t="n"/>
      <c r="G58" s="102" t="n"/>
      <c r="H58" s="100" t="n"/>
    </row>
    <row r="59" ht="15" customHeight="1" s="52">
      <c r="A59" s="102" t="n"/>
      <c r="B59" s="100" t="n"/>
      <c r="C59" s="100" t="n"/>
      <c r="D59" s="100" t="n"/>
      <c r="E59" s="101" t="n"/>
      <c r="F59" s="101" t="n"/>
      <c r="G59" s="102" t="n"/>
      <c r="H59" s="100" t="n"/>
    </row>
    <row r="60" ht="15" customHeight="1" s="52">
      <c r="A60" s="102" t="n"/>
      <c r="B60" s="100" t="n"/>
      <c r="C60" s="100" t="n"/>
      <c r="D60" s="100" t="n"/>
      <c r="E60" s="101" t="n"/>
      <c r="F60" s="101" t="n"/>
      <c r="G60" s="102" t="n"/>
      <c r="H60" s="100" t="n"/>
    </row>
    <row r="61" ht="15" customHeight="1" s="52">
      <c r="A61" s="102" t="n"/>
      <c r="B61" s="100" t="n"/>
      <c r="C61" s="100" t="n"/>
      <c r="D61" s="100" t="n"/>
      <c r="E61" s="101" t="n"/>
      <c r="F61" s="101" t="n"/>
      <c r="G61" s="102" t="n"/>
      <c r="H61" s="100" t="n"/>
    </row>
    <row r="62" ht="15" customHeight="1" s="52">
      <c r="A62" s="102" t="n"/>
      <c r="B62" s="100" t="n"/>
      <c r="C62" s="100" t="n"/>
      <c r="D62" s="100" t="n"/>
      <c r="E62" s="101" t="n"/>
      <c r="F62" s="101" t="n"/>
      <c r="G62" s="102" t="n"/>
      <c r="H62" s="100" t="n"/>
    </row>
    <row r="63" ht="15" customHeight="1" s="52">
      <c r="A63" s="102" t="n"/>
      <c r="B63" s="100" t="n"/>
      <c r="C63" s="100" t="n"/>
      <c r="D63" s="100" t="n"/>
      <c r="E63" s="101" t="n"/>
      <c r="F63" s="101" t="n"/>
      <c r="G63" s="102" t="n"/>
      <c r="H63" s="100" t="n"/>
    </row>
    <row r="64" ht="15" customHeight="1" s="52">
      <c r="A64" s="102" t="n"/>
      <c r="B64" s="100" t="n"/>
      <c r="C64" s="100" t="n"/>
      <c r="D64" s="100" t="n"/>
      <c r="E64" s="101" t="n"/>
      <c r="F64" s="101" t="n"/>
      <c r="G64" s="102" t="n"/>
      <c r="H64" s="100" t="n"/>
    </row>
    <row r="65" ht="15" customHeight="1" s="52">
      <c r="A65" s="102" t="n"/>
      <c r="B65" s="100" t="n"/>
      <c r="C65" s="100" t="n"/>
      <c r="D65" s="100" t="n"/>
      <c r="E65" s="101" t="n"/>
      <c r="F65" s="101" t="n"/>
      <c r="G65" s="102" t="n"/>
      <c r="H65" s="100" t="n"/>
    </row>
    <row r="66" ht="15" customHeight="1" s="52">
      <c r="A66" s="102" t="n"/>
      <c r="B66" s="100" t="n"/>
      <c r="C66" s="100" t="n"/>
      <c r="D66" s="100" t="n"/>
      <c r="E66" s="101" t="n"/>
      <c r="F66" s="101" t="n"/>
      <c r="G66" s="102" t="n"/>
      <c r="H66" s="100" t="n"/>
    </row>
    <row r="67" ht="15" customHeight="1" s="52">
      <c r="A67" s="102" t="n"/>
      <c r="B67" s="100" t="n"/>
      <c r="C67" s="100" t="n"/>
      <c r="D67" s="100" t="n"/>
      <c r="E67" s="101" t="n"/>
      <c r="F67" s="101" t="n"/>
      <c r="G67" s="102" t="n"/>
      <c r="H67" s="100" t="n"/>
    </row>
    <row r="68" ht="15" customHeight="1" s="52">
      <c r="A68" s="102" t="n"/>
      <c r="B68" s="100" t="n"/>
      <c r="C68" s="100" t="n"/>
      <c r="D68" s="100" t="n"/>
      <c r="E68" s="101" t="n"/>
      <c r="F68" s="101" t="n"/>
      <c r="G68" s="102" t="n"/>
      <c r="H68" s="100" t="n"/>
    </row>
    <row r="69" ht="15" customHeight="1" s="52">
      <c r="A69" s="102" t="n"/>
      <c r="B69" s="100" t="n"/>
      <c r="C69" s="100" t="n"/>
      <c r="D69" s="100" t="n"/>
      <c r="E69" s="101" t="n"/>
      <c r="F69" s="101" t="n"/>
      <c r="G69" s="102" t="n"/>
      <c r="H69" s="100" t="n"/>
    </row>
    <row r="70" ht="15" customHeight="1" s="52">
      <c r="A70" s="102" t="n"/>
      <c r="B70" s="100" t="n"/>
      <c r="C70" s="100" t="n"/>
      <c r="D70" s="100" t="n"/>
      <c r="E70" s="101" t="n"/>
      <c r="F70" s="101" t="n"/>
      <c r="G70" s="102" t="n"/>
      <c r="H70" s="100" t="n"/>
    </row>
    <row r="71" ht="15" customHeight="1" s="52">
      <c r="A71" s="102" t="n"/>
      <c r="B71" s="100" t="n"/>
      <c r="C71" s="100" t="n"/>
      <c r="D71" s="100" t="n"/>
      <c r="E71" s="101" t="n"/>
      <c r="F71" s="101" t="n"/>
      <c r="G71" s="102" t="n"/>
      <c r="H71" s="100" t="n"/>
    </row>
    <row r="72" ht="15" customHeight="1" s="52">
      <c r="A72" s="102" t="n"/>
      <c r="B72" s="100" t="n"/>
      <c r="C72" s="100" t="n"/>
      <c r="D72" s="100" t="n"/>
      <c r="E72" s="101" t="n"/>
      <c r="F72" s="101" t="n"/>
      <c r="G72" s="102" t="n"/>
      <c r="H72" s="100" t="n"/>
    </row>
    <row r="73" ht="15" customHeight="1" s="52">
      <c r="A73" s="102" t="n"/>
      <c r="B73" s="100" t="n"/>
      <c r="C73" s="100" t="n"/>
      <c r="D73" s="100" t="n"/>
      <c r="E73" s="101" t="n"/>
      <c r="F73" s="101" t="n"/>
      <c r="G73" s="102" t="n"/>
      <c r="H73" s="100" t="n"/>
    </row>
    <row r="74" ht="15" customHeight="1" s="52">
      <c r="A74" s="102" t="n"/>
      <c r="B74" s="100" t="n"/>
      <c r="C74" s="100" t="n"/>
      <c r="D74" s="100" t="n"/>
      <c r="E74" s="101" t="n"/>
      <c r="F74" s="101" t="n"/>
      <c r="G74" s="102" t="n"/>
      <c r="H74" s="100" t="n"/>
    </row>
    <row r="75" ht="15" customHeight="1" s="52">
      <c r="A75" s="102" t="n"/>
      <c r="B75" s="100" t="n"/>
      <c r="C75" s="100" t="n"/>
      <c r="D75" s="100" t="n"/>
      <c r="E75" s="101" t="n"/>
      <c r="F75" s="101" t="n"/>
      <c r="G75" s="102" t="n"/>
      <c r="H75" s="100" t="n"/>
    </row>
    <row r="76" ht="15" customHeight="1" s="52">
      <c r="A76" s="102" t="n"/>
      <c r="B76" s="100" t="n"/>
      <c r="C76" s="100" t="n"/>
      <c r="D76" s="100" t="n"/>
      <c r="E76" s="101" t="n"/>
      <c r="F76" s="101" t="n"/>
      <c r="G76" s="102" t="n"/>
      <c r="H76" s="100" t="n"/>
    </row>
    <row r="77" ht="15" customHeight="1" s="52">
      <c r="A77" s="102" t="n"/>
      <c r="B77" s="100" t="n"/>
      <c r="C77" s="100" t="n"/>
      <c r="D77" s="100" t="n"/>
      <c r="E77" s="101" t="n"/>
      <c r="F77" s="101" t="n"/>
      <c r="G77" s="102" t="n"/>
      <c r="H77" s="100" t="n"/>
    </row>
    <row r="78" ht="15" customHeight="1" s="52">
      <c r="A78" s="102" t="n"/>
      <c r="B78" s="100" t="n"/>
      <c r="C78" s="100" t="n"/>
      <c r="D78" s="100" t="n"/>
      <c r="E78" s="101" t="n"/>
      <c r="F78" s="101" t="n"/>
      <c r="G78" s="102" t="n"/>
      <c r="H78" s="100" t="n"/>
    </row>
    <row r="79" ht="15" customHeight="1" s="52">
      <c r="A79" s="102" t="n"/>
      <c r="B79" s="100" t="n"/>
      <c r="C79" s="100" t="n"/>
      <c r="D79" s="100" t="n"/>
      <c r="E79" s="101" t="n"/>
      <c r="F79" s="101" t="n"/>
      <c r="G79" s="102" t="n"/>
      <c r="H79" s="100" t="n"/>
    </row>
    <row r="80" ht="15" customHeight="1" s="52">
      <c r="A80" s="102" t="n"/>
      <c r="B80" s="100" t="n"/>
      <c r="C80" s="100" t="n"/>
      <c r="D80" s="100" t="n"/>
      <c r="E80" s="101" t="n"/>
      <c r="F80" s="101" t="n"/>
      <c r="G80" s="102" t="n"/>
      <c r="H80" s="100" t="n"/>
    </row>
    <row r="81" ht="15" customHeight="1" s="52">
      <c r="A81" s="102" t="n"/>
      <c r="B81" s="100" t="n"/>
      <c r="C81" s="100" t="n"/>
      <c r="D81" s="100" t="n"/>
      <c r="E81" s="101" t="n"/>
      <c r="F81" s="101" t="n"/>
      <c r="G81" s="102" t="n"/>
      <c r="H81" s="100" t="n"/>
    </row>
    <row r="82" ht="15" customHeight="1" s="52">
      <c r="A82" s="102" t="n"/>
      <c r="B82" s="100" t="n"/>
      <c r="C82" s="100" t="n"/>
      <c r="D82" s="100" t="n"/>
      <c r="E82" s="101" t="n"/>
      <c r="F82" s="101" t="n"/>
      <c r="G82" s="102" t="n"/>
      <c r="H82" s="100" t="n"/>
    </row>
    <row r="83" ht="15" customHeight="1" s="52">
      <c r="A83" s="102" t="n"/>
      <c r="B83" s="100" t="n"/>
      <c r="C83" s="100" t="n"/>
      <c r="D83" s="100" t="n"/>
      <c r="E83" s="101" t="n"/>
      <c r="F83" s="101" t="n"/>
      <c r="G83" s="102" t="n"/>
      <c r="H83" s="100" t="n"/>
    </row>
    <row r="84" ht="15" customHeight="1" s="52">
      <c r="A84" s="102" t="n"/>
      <c r="B84" s="100" t="n"/>
      <c r="C84" s="100" t="n"/>
      <c r="D84" s="100" t="n"/>
      <c r="E84" s="101" t="n"/>
      <c r="F84" s="101" t="n"/>
      <c r="G84" s="102" t="n"/>
      <c r="H84" s="100" t="n"/>
    </row>
    <row r="85" ht="15" customHeight="1" s="52">
      <c r="A85" s="102" t="n"/>
      <c r="B85" s="100" t="n"/>
      <c r="C85" s="100" t="n"/>
      <c r="D85" s="100" t="n"/>
      <c r="E85" s="101" t="n"/>
      <c r="F85" s="101" t="n"/>
      <c r="G85" s="102" t="n"/>
      <c r="H85" s="100" t="n"/>
    </row>
    <row r="86" ht="15" customHeight="1" s="52">
      <c r="A86" s="102" t="n"/>
      <c r="B86" s="100" t="n"/>
      <c r="C86" s="100" t="n"/>
      <c r="D86" s="100" t="n"/>
      <c r="E86" s="101" t="n"/>
      <c r="F86" s="101" t="n"/>
      <c r="G86" s="102" t="n"/>
      <c r="H86" s="100" t="n"/>
    </row>
    <row r="87" ht="15" customHeight="1" s="52">
      <c r="A87" s="102" t="n"/>
      <c r="B87" s="100" t="n"/>
      <c r="C87" s="100" t="n"/>
      <c r="D87" s="100" t="n"/>
      <c r="E87" s="101" t="n"/>
      <c r="F87" s="101" t="n"/>
      <c r="G87" s="102" t="n"/>
      <c r="H87" s="100" t="n"/>
    </row>
    <row r="88" ht="15" customHeight="1" s="52">
      <c r="A88" s="102" t="n"/>
      <c r="B88" s="100" t="n"/>
      <c r="C88" s="100" t="n"/>
      <c r="D88" s="100" t="n"/>
      <c r="E88" s="101" t="n"/>
      <c r="F88" s="101" t="n"/>
      <c r="G88" s="102" t="n"/>
      <c r="H88" s="100" t="n"/>
    </row>
    <row r="89" ht="15" customHeight="1" s="52">
      <c r="A89" s="102" t="n"/>
      <c r="B89" s="100" t="n"/>
      <c r="C89" s="100" t="n"/>
      <c r="D89" s="100" t="n"/>
      <c r="E89" s="101" t="n"/>
      <c r="F89" s="101" t="n"/>
      <c r="G89" s="102" t="n"/>
      <c r="H89" s="100" t="n"/>
    </row>
    <row r="90" ht="15" customHeight="1" s="52">
      <c r="A90" s="102" t="n"/>
      <c r="B90" s="100" t="n"/>
      <c r="C90" s="100" t="n"/>
      <c r="D90" s="100" t="n"/>
      <c r="E90" s="101" t="n"/>
      <c r="F90" s="101" t="n"/>
      <c r="G90" s="102" t="n"/>
      <c r="H90" s="100" t="n"/>
    </row>
    <row r="91" ht="15" customHeight="1" s="52">
      <c r="A91" s="102" t="n"/>
      <c r="B91" s="100" t="n"/>
      <c r="C91" s="100" t="n"/>
      <c r="D91" s="100" t="n"/>
      <c r="E91" s="101" t="n"/>
      <c r="F91" s="101" t="n"/>
      <c r="G91" s="102" t="n"/>
      <c r="H91" s="100" t="n"/>
    </row>
    <row r="92" ht="15" customHeight="1" s="52">
      <c r="A92" s="102" t="n"/>
      <c r="B92" s="100" t="n"/>
      <c r="C92" s="100" t="n"/>
      <c r="D92" s="100" t="n"/>
      <c r="E92" s="101" t="n"/>
      <c r="F92" s="101" t="n"/>
      <c r="G92" s="102" t="n"/>
      <c r="H92" s="100" t="n"/>
    </row>
    <row r="93" ht="15" customHeight="1" s="52">
      <c r="A93" s="102" t="n"/>
      <c r="B93" s="100" t="n"/>
      <c r="C93" s="100" t="n"/>
      <c r="D93" s="100" t="n"/>
      <c r="E93" s="101" t="n"/>
      <c r="F93" s="101" t="n"/>
      <c r="G93" s="102" t="n"/>
      <c r="H93" s="100" t="n"/>
    </row>
    <row r="94" ht="15" customHeight="1" s="52">
      <c r="A94" s="102" t="n"/>
      <c r="B94" s="100" t="n"/>
      <c r="C94" s="100" t="n"/>
      <c r="D94" s="100" t="n"/>
      <c r="E94" s="101" t="n"/>
      <c r="F94" s="101" t="n"/>
      <c r="G94" s="102" t="n"/>
      <c r="H94" s="100" t="n"/>
    </row>
    <row r="95" ht="15" customHeight="1" s="52">
      <c r="A95" s="102" t="n"/>
      <c r="B95" s="100" t="n"/>
      <c r="C95" s="100" t="n"/>
      <c r="D95" s="100" t="n"/>
      <c r="E95" s="101" t="n"/>
      <c r="F95" s="101" t="n"/>
      <c r="G95" s="102" t="n"/>
      <c r="H95" s="100" t="n"/>
    </row>
    <row r="96" ht="15" customHeight="1" s="52">
      <c r="A96" s="102" t="n"/>
      <c r="B96" s="100" t="n"/>
      <c r="C96" s="100" t="n"/>
      <c r="D96" s="100" t="n"/>
      <c r="E96" s="101" t="n"/>
      <c r="F96" s="101" t="n"/>
      <c r="G96" s="102" t="n"/>
      <c r="H96" s="100" t="n"/>
    </row>
    <row r="97" ht="15" customHeight="1" s="52">
      <c r="A97" s="102" t="n"/>
      <c r="B97" s="100" t="n"/>
      <c r="C97" s="100" t="n"/>
      <c r="D97" s="100" t="n"/>
      <c r="E97" s="101" t="n"/>
      <c r="F97" s="101" t="n"/>
      <c r="G97" s="102" t="n"/>
      <c r="H97" s="100" t="n"/>
    </row>
    <row r="98" ht="15" customHeight="1" s="52">
      <c r="A98" s="102" t="n"/>
      <c r="B98" s="100" t="n"/>
      <c r="C98" s="100" t="n"/>
      <c r="D98" s="100" t="n"/>
      <c r="E98" s="101" t="n"/>
      <c r="F98" s="101" t="n"/>
      <c r="G98" s="102" t="n"/>
      <c r="H98" s="100" t="n"/>
    </row>
    <row r="99" ht="15" customHeight="1" s="52">
      <c r="A99" s="102" t="n"/>
      <c r="B99" s="100" t="n"/>
      <c r="C99" s="100" t="n"/>
      <c r="D99" s="100" t="n"/>
      <c r="E99" s="101" t="n"/>
      <c r="F99" s="101" t="n"/>
      <c r="G99" s="102" t="n"/>
      <c r="H99" s="100" t="n"/>
    </row>
    <row r="100" ht="15" customHeight="1" s="52">
      <c r="A100" s="102" t="n"/>
      <c r="B100" s="100" t="n"/>
      <c r="C100" s="100" t="n"/>
      <c r="D100" s="100" t="n"/>
      <c r="E100" s="101" t="n"/>
      <c r="F100" s="101" t="n"/>
      <c r="G100" s="102" t="n"/>
      <c r="H100" s="100" t="n"/>
    </row>
    <row r="101" ht="15" customHeight="1" s="52">
      <c r="A101" s="102" t="n"/>
      <c r="B101" s="100" t="n"/>
      <c r="C101" s="100" t="n"/>
      <c r="D101" s="100" t="n"/>
      <c r="E101" s="101" t="n"/>
      <c r="F101" s="101" t="n"/>
      <c r="G101" s="102" t="n"/>
      <c r="H101" s="100" t="n"/>
    </row>
    <row r="102" ht="15" customHeight="1" s="52">
      <c r="A102" s="102" t="n"/>
      <c r="B102" s="100" t="n"/>
      <c r="C102" s="100" t="n"/>
      <c r="D102" s="100" t="n"/>
      <c r="E102" s="101" t="n"/>
      <c r="F102" s="101" t="n"/>
      <c r="G102" s="102" t="n"/>
      <c r="H102" s="100" t="n"/>
    </row>
    <row r="103" ht="15" customHeight="1" s="52">
      <c r="A103" s="102" t="n"/>
      <c r="B103" s="100" t="n"/>
      <c r="C103" s="100" t="n"/>
      <c r="D103" s="100" t="n"/>
      <c r="E103" s="101" t="n"/>
      <c r="F103" s="101" t="n"/>
      <c r="G103" s="102" t="n"/>
      <c r="H103" s="100" t="n"/>
    </row>
    <row r="104" ht="15" customHeight="1" s="52">
      <c r="A104" s="102" t="n"/>
      <c r="B104" s="100" t="n"/>
      <c r="C104" s="100" t="n"/>
      <c r="D104" s="100" t="n"/>
      <c r="E104" s="101" t="n"/>
      <c r="F104" s="101" t="n"/>
      <c r="G104" s="102" t="n"/>
      <c r="H104" s="100" t="n"/>
    </row>
    <row r="105" ht="15" customHeight="1" s="52">
      <c r="A105" s="102" t="n"/>
      <c r="B105" s="100" t="n"/>
      <c r="C105" s="100" t="n"/>
      <c r="D105" s="100" t="n"/>
      <c r="E105" s="101" t="n"/>
      <c r="F105" s="101" t="n"/>
      <c r="G105" s="102" t="n"/>
      <c r="H105" s="100" t="n"/>
    </row>
    <row r="106" ht="15" customHeight="1" s="52">
      <c r="A106" s="102" t="n"/>
      <c r="B106" s="100" t="n"/>
      <c r="C106" s="100" t="n"/>
      <c r="D106" s="100" t="n"/>
      <c r="E106" s="101" t="n"/>
      <c r="F106" s="101" t="n"/>
      <c r="G106" s="102" t="n"/>
      <c r="H106" s="100" t="n"/>
    </row>
    <row r="107" ht="15" customHeight="1" s="52">
      <c r="A107" s="102" t="n"/>
      <c r="B107" s="100" t="n"/>
      <c r="C107" s="100" t="n"/>
      <c r="D107" s="100" t="n"/>
      <c r="E107" s="101" t="n"/>
      <c r="F107" s="101" t="n"/>
      <c r="G107" s="102" t="n"/>
      <c r="H107" s="100" t="n"/>
    </row>
    <row r="108" ht="15" customHeight="1" s="52">
      <c r="A108" s="102" t="n"/>
      <c r="B108" s="100" t="n"/>
      <c r="C108" s="100" t="n"/>
      <c r="D108" s="100" t="n"/>
      <c r="E108" s="101" t="n"/>
      <c r="F108" s="101" t="n"/>
      <c r="G108" s="102" t="n"/>
      <c r="H108" s="100" t="n"/>
    </row>
    <row r="109" ht="15" customHeight="1" s="52">
      <c r="A109" s="102" t="n"/>
      <c r="B109" s="100" t="n"/>
      <c r="C109" s="100" t="n"/>
      <c r="D109" s="100" t="n"/>
      <c r="E109" s="101" t="n"/>
      <c r="F109" s="101" t="n"/>
      <c r="G109" s="102" t="n"/>
      <c r="H109" s="100" t="n"/>
    </row>
    <row r="110" ht="15" customHeight="1" s="52">
      <c r="A110" s="102" t="n"/>
      <c r="B110" s="100" t="n"/>
      <c r="C110" s="100" t="n"/>
      <c r="D110" s="100" t="n"/>
      <c r="E110" s="101" t="n"/>
      <c r="F110" s="101" t="n"/>
      <c r="G110" s="102" t="n"/>
      <c r="H110" s="100" t="n"/>
    </row>
    <row r="111" ht="15" customHeight="1" s="52">
      <c r="A111" s="102" t="n"/>
      <c r="B111" s="100" t="n"/>
      <c r="C111" s="100" t="n"/>
      <c r="D111" s="100" t="n"/>
      <c r="E111" s="101" t="n"/>
      <c r="F111" s="101" t="n"/>
      <c r="G111" s="102" t="n"/>
      <c r="H111" s="100" t="n"/>
    </row>
    <row r="112" ht="15" customHeight="1" s="52">
      <c r="A112" s="102" t="n"/>
      <c r="B112" s="100" t="n"/>
      <c r="C112" s="100" t="n"/>
      <c r="D112" s="100" t="n"/>
      <c r="E112" s="101" t="n"/>
      <c r="F112" s="101" t="n"/>
      <c r="G112" s="102" t="n"/>
      <c r="H112" s="100" t="n"/>
    </row>
    <row r="113" ht="15" customHeight="1" s="52">
      <c r="A113" s="102" t="n"/>
      <c r="B113" s="100" t="n"/>
      <c r="C113" s="100" t="n"/>
      <c r="D113" s="100" t="n"/>
      <c r="E113" s="101" t="n"/>
      <c r="F113" s="101" t="n"/>
      <c r="G113" s="102" t="n"/>
      <c r="H113" s="100" t="n"/>
    </row>
    <row r="114" ht="15" customHeight="1" s="52">
      <c r="A114" s="102" t="n"/>
      <c r="B114" s="100" t="n"/>
      <c r="C114" s="100" t="n"/>
      <c r="D114" s="100" t="n"/>
      <c r="E114" s="101" t="n"/>
      <c r="F114" s="101" t="n"/>
      <c r="G114" s="102" t="n"/>
      <c r="H114" s="100" t="n"/>
    </row>
    <row r="115" ht="15" customHeight="1" s="52">
      <c r="A115" s="102" t="n"/>
      <c r="B115" s="100" t="n"/>
      <c r="C115" s="100" t="n"/>
      <c r="D115" s="100" t="n"/>
      <c r="E115" s="101" t="n"/>
      <c r="F115" s="101" t="n"/>
      <c r="G115" s="102" t="n"/>
      <c r="H115" s="100" t="n"/>
    </row>
    <row r="116" ht="15" customHeight="1" s="52">
      <c r="A116" s="102" t="n"/>
      <c r="B116" s="100" t="n"/>
      <c r="C116" s="100" t="n"/>
      <c r="D116" s="100" t="n"/>
      <c r="E116" s="101" t="n"/>
      <c r="F116" s="101" t="n"/>
      <c r="G116" s="102" t="n"/>
      <c r="H116" s="100" t="n"/>
    </row>
    <row r="117" ht="15" customHeight="1" s="52">
      <c r="A117" s="102" t="n"/>
      <c r="B117" s="100" t="n"/>
      <c r="C117" s="100" t="n"/>
      <c r="D117" s="100" t="n"/>
      <c r="E117" s="101" t="n"/>
      <c r="F117" s="101" t="n"/>
      <c r="G117" s="102" t="n"/>
      <c r="H117" s="100" t="n"/>
    </row>
    <row r="118" ht="15" customHeight="1" s="52">
      <c r="A118" s="102" t="n"/>
      <c r="B118" s="100" t="n"/>
      <c r="C118" s="100" t="n"/>
      <c r="D118" s="100" t="n"/>
      <c r="E118" s="101" t="n"/>
      <c r="F118" s="101" t="n"/>
      <c r="G118" s="102" t="n"/>
      <c r="H118" s="100" t="n"/>
    </row>
    <row r="119" ht="15" customHeight="1" s="52">
      <c r="A119" s="102" t="n"/>
      <c r="B119" s="100" t="n"/>
      <c r="C119" s="100" t="n"/>
      <c r="D119" s="100" t="n"/>
      <c r="E119" s="101" t="n"/>
      <c r="F119" s="101" t="n"/>
      <c r="G119" s="102" t="n"/>
      <c r="H119" s="100" t="n"/>
    </row>
    <row r="120" ht="15" customHeight="1" s="52">
      <c r="A120" s="102" t="n"/>
      <c r="B120" s="100" t="n"/>
      <c r="C120" s="100" t="n"/>
      <c r="D120" s="100" t="n"/>
      <c r="E120" s="101" t="n"/>
      <c r="F120" s="101" t="n"/>
      <c r="G120" s="102" t="n"/>
      <c r="H120" s="100" t="n"/>
    </row>
    <row r="121" ht="15" customHeight="1" s="52">
      <c r="A121" s="102" t="n"/>
      <c r="B121" s="100" t="n"/>
      <c r="C121" s="100" t="n"/>
      <c r="D121" s="100" t="n"/>
      <c r="E121" s="101" t="n"/>
      <c r="F121" s="101" t="n"/>
      <c r="G121" s="102" t="n"/>
      <c r="H121" s="100" t="n"/>
    </row>
    <row r="122" ht="15" customHeight="1" s="52">
      <c r="A122" s="102" t="n"/>
      <c r="B122" s="100" t="n"/>
      <c r="C122" s="100" t="n"/>
      <c r="D122" s="100" t="n"/>
      <c r="E122" s="101" t="n"/>
      <c r="F122" s="101" t="n"/>
      <c r="G122" s="102" t="n"/>
      <c r="H122" s="100" t="n"/>
    </row>
    <row r="123" ht="15" customHeight="1" s="52">
      <c r="A123" s="102" t="n"/>
      <c r="B123" s="100" t="n"/>
      <c r="C123" s="100" t="n"/>
      <c r="D123" s="100" t="n"/>
      <c r="E123" s="101" t="n"/>
      <c r="F123" s="101" t="n"/>
      <c r="G123" s="102" t="n"/>
      <c r="H123" s="100" t="n"/>
    </row>
    <row r="124" ht="15" customHeight="1" s="52">
      <c r="A124" s="102" t="n"/>
      <c r="B124" s="100" t="n"/>
      <c r="C124" s="100" t="n"/>
      <c r="D124" s="100" t="n"/>
      <c r="E124" s="101" t="n"/>
      <c r="F124" s="101" t="n"/>
      <c r="G124" s="102" t="n"/>
      <c r="H124" s="100" t="n"/>
    </row>
    <row r="125" ht="15" customHeight="1" s="52">
      <c r="A125" s="102" t="n"/>
      <c r="B125" s="100" t="n"/>
      <c r="C125" s="100" t="n"/>
      <c r="D125" s="100" t="n"/>
      <c r="E125" s="101" t="n"/>
      <c r="F125" s="101" t="n"/>
      <c r="G125" s="102" t="n"/>
      <c r="H125" s="100" t="n"/>
    </row>
    <row r="126" ht="15" customHeight="1" s="52">
      <c r="A126" s="102" t="n"/>
      <c r="B126" s="100" t="n"/>
      <c r="C126" s="100" t="n"/>
      <c r="D126" s="100" t="n"/>
      <c r="E126" s="101" t="n"/>
      <c r="F126" s="101" t="n"/>
      <c r="G126" s="102" t="n"/>
      <c r="H126" s="100" t="n"/>
    </row>
    <row r="127" ht="15" customHeight="1" s="52">
      <c r="A127" s="102" t="n"/>
      <c r="B127" s="100" t="n"/>
      <c r="C127" s="100" t="n"/>
      <c r="D127" s="100" t="n"/>
      <c r="E127" s="101" t="n"/>
      <c r="F127" s="101" t="n"/>
      <c r="G127" s="102" t="n"/>
      <c r="H127" s="100" t="n"/>
    </row>
    <row r="128" ht="15" customHeight="1" s="52">
      <c r="A128" s="102" t="n"/>
      <c r="B128" s="100" t="n"/>
      <c r="C128" s="100" t="n"/>
      <c r="D128" s="100" t="n"/>
      <c r="E128" s="101" t="n"/>
      <c r="F128" s="101" t="n"/>
      <c r="G128" s="102" t="n"/>
      <c r="H128" s="100" t="n"/>
    </row>
    <row r="129" ht="15" customHeight="1" s="52">
      <c r="A129" s="102" t="n"/>
      <c r="B129" s="100" t="n"/>
      <c r="C129" s="100" t="n"/>
      <c r="D129" s="100" t="n"/>
      <c r="E129" s="101" t="n"/>
      <c r="F129" s="101" t="n"/>
      <c r="G129" s="102" t="n"/>
      <c r="H129" s="100" t="n"/>
    </row>
    <row r="130" ht="15" customHeight="1" s="52">
      <c r="A130" s="102" t="n"/>
      <c r="B130" s="100" t="n"/>
      <c r="C130" s="100" t="n"/>
      <c r="D130" s="100" t="n"/>
      <c r="E130" s="101" t="n"/>
      <c r="F130" s="101" t="n"/>
      <c r="G130" s="102" t="n"/>
      <c r="H130" s="100" t="n"/>
    </row>
    <row r="131" ht="15" customHeight="1" s="52">
      <c r="A131" s="102" t="n"/>
      <c r="B131" s="100" t="n"/>
      <c r="C131" s="100" t="n"/>
      <c r="D131" s="100" t="n"/>
      <c r="E131" s="101" t="n"/>
      <c r="F131" s="101" t="n"/>
      <c r="G131" s="102" t="n"/>
      <c r="H131" s="100" t="n"/>
    </row>
    <row r="132" ht="15" customHeight="1" s="52">
      <c r="A132" s="102" t="n"/>
      <c r="B132" s="100" t="n"/>
      <c r="C132" s="100" t="n"/>
      <c r="D132" s="100" t="n"/>
      <c r="E132" s="101" t="n"/>
      <c r="F132" s="101" t="n"/>
      <c r="G132" s="102" t="n"/>
      <c r="H132" s="100" t="n"/>
    </row>
    <row r="133" ht="15" customHeight="1" s="52">
      <c r="A133" s="102" t="n"/>
      <c r="B133" s="100" t="n"/>
      <c r="C133" s="100" t="n"/>
      <c r="D133" s="100" t="n"/>
      <c r="E133" s="101" t="n"/>
      <c r="F133" s="101" t="n"/>
      <c r="G133" s="102" t="n"/>
      <c r="H133" s="100" t="n"/>
    </row>
    <row r="134" ht="15" customHeight="1" s="52">
      <c r="A134" s="102" t="n"/>
      <c r="B134" s="100" t="n"/>
      <c r="C134" s="100" t="n"/>
      <c r="D134" s="100" t="n"/>
      <c r="E134" s="101" t="n"/>
      <c r="F134" s="101" t="n"/>
      <c r="G134" s="102" t="n"/>
      <c r="H134" s="100" t="n"/>
    </row>
    <row r="135" ht="15" customHeight="1" s="52">
      <c r="A135" s="102" t="n"/>
      <c r="B135" s="100" t="n"/>
      <c r="C135" s="100" t="n"/>
      <c r="D135" s="100" t="n"/>
      <c r="E135" s="101" t="n"/>
      <c r="F135" s="101" t="n"/>
      <c r="G135" s="102" t="n"/>
      <c r="H135" s="100" t="n"/>
    </row>
    <row r="136" ht="15" customHeight="1" s="52">
      <c r="A136" s="102" t="n"/>
      <c r="B136" s="100" t="n"/>
      <c r="C136" s="100" t="n"/>
      <c r="D136" s="100" t="n"/>
      <c r="E136" s="101" t="n"/>
      <c r="F136" s="101" t="n"/>
      <c r="G136" s="102" t="n"/>
      <c r="H136" s="100" t="n"/>
    </row>
    <row r="137" ht="15" customHeight="1" s="52">
      <c r="A137" s="102" t="n"/>
      <c r="B137" s="100" t="n"/>
      <c r="C137" s="100" t="n"/>
      <c r="D137" s="100" t="n"/>
      <c r="E137" s="101" t="n"/>
      <c r="F137" s="101" t="n"/>
      <c r="G137" s="102" t="n"/>
      <c r="H137" s="100" t="n"/>
    </row>
    <row r="138" ht="15" customHeight="1" s="52">
      <c r="A138" s="102" t="n"/>
      <c r="B138" s="100" t="n"/>
      <c r="C138" s="100" t="n"/>
      <c r="D138" s="100" t="n"/>
      <c r="E138" s="101" t="n"/>
      <c r="F138" s="101" t="n"/>
      <c r="G138" s="102" t="n"/>
      <c r="H138" s="100" t="n"/>
    </row>
    <row r="139" ht="15" customHeight="1" s="52">
      <c r="A139" s="102" t="n"/>
      <c r="B139" s="100" t="n"/>
      <c r="C139" s="100" t="n"/>
      <c r="D139" s="100" t="n"/>
      <c r="E139" s="101" t="n"/>
      <c r="F139" s="101" t="n"/>
      <c r="G139" s="102" t="n"/>
      <c r="H139" s="100" t="n"/>
    </row>
    <row r="140" ht="15" customHeight="1" s="52">
      <c r="A140" s="102" t="n"/>
      <c r="B140" s="100" t="n"/>
      <c r="C140" s="100" t="n"/>
      <c r="D140" s="100" t="n"/>
      <c r="E140" s="101" t="n"/>
      <c r="F140" s="101" t="n"/>
      <c r="G140" s="102" t="n"/>
      <c r="H140" s="100" t="n"/>
    </row>
    <row r="141" ht="15" customHeight="1" s="52">
      <c r="A141" s="102" t="n"/>
      <c r="B141" s="100" t="n"/>
      <c r="C141" s="100" t="n"/>
      <c r="D141" s="100" t="n"/>
      <c r="E141" s="101" t="n"/>
      <c r="F141" s="101" t="n"/>
      <c r="G141" s="102" t="n"/>
      <c r="H141" s="100" t="n"/>
    </row>
    <row r="142" ht="15" customHeight="1" s="52">
      <c r="A142" s="102" t="n"/>
      <c r="B142" s="100" t="n"/>
      <c r="C142" s="100" t="n"/>
      <c r="D142" s="100" t="n"/>
      <c r="E142" s="101" t="n"/>
      <c r="F142" s="101" t="n"/>
      <c r="G142" s="102" t="n"/>
      <c r="H142" s="100" t="n"/>
    </row>
    <row r="143" ht="15" customHeight="1" s="52">
      <c r="A143" s="102" t="n"/>
      <c r="B143" s="100" t="n"/>
      <c r="C143" s="100" t="n"/>
      <c r="D143" s="100" t="n"/>
      <c r="E143" s="101" t="n"/>
      <c r="F143" s="101" t="n"/>
      <c r="G143" s="102" t="n"/>
      <c r="H143" s="100" t="n"/>
    </row>
    <row r="144" ht="15" customHeight="1" s="52">
      <c r="A144" s="102" t="n"/>
      <c r="B144" s="100" t="n"/>
      <c r="C144" s="100" t="n"/>
      <c r="D144" s="100" t="n"/>
      <c r="E144" s="101" t="n"/>
      <c r="F144" s="101" t="n"/>
      <c r="G144" s="102" t="n"/>
      <c r="H144" s="100" t="n"/>
    </row>
    <row r="145" ht="15" customHeight="1" s="52">
      <c r="A145" s="102" t="n"/>
      <c r="B145" s="100" t="n"/>
      <c r="C145" s="100" t="n"/>
      <c r="D145" s="100" t="n"/>
      <c r="E145" s="101" t="n"/>
      <c r="F145" s="101" t="n"/>
      <c r="G145" s="102" t="n"/>
      <c r="H145" s="100" t="n"/>
    </row>
    <row r="146" ht="15" customHeight="1" s="52">
      <c r="A146" s="102" t="n"/>
      <c r="B146" s="100" t="n"/>
      <c r="C146" s="100" t="n"/>
      <c r="D146" s="100" t="n"/>
      <c r="E146" s="101" t="n"/>
      <c r="F146" s="101" t="n"/>
      <c r="G146" s="102" t="n"/>
      <c r="H146" s="100" t="n"/>
    </row>
    <row r="147" ht="15" customHeight="1" s="52">
      <c r="A147" s="102" t="n"/>
      <c r="B147" s="100" t="n"/>
      <c r="C147" s="100" t="n"/>
      <c r="D147" s="100" t="n"/>
      <c r="E147" s="101" t="n"/>
      <c r="F147" s="101" t="n"/>
      <c r="G147" s="102" t="n"/>
      <c r="H147" s="100" t="n"/>
    </row>
    <row r="148" ht="15" customHeight="1" s="52">
      <c r="A148" s="102" t="n"/>
      <c r="B148" s="100" t="n"/>
      <c r="C148" s="100" t="n"/>
      <c r="D148" s="100" t="n"/>
      <c r="E148" s="101" t="n"/>
      <c r="F148" s="101" t="n"/>
      <c r="G148" s="102" t="n"/>
      <c r="H148" s="100" t="n"/>
    </row>
    <row r="149" ht="15" customHeight="1" s="52">
      <c r="A149" s="102" t="n"/>
      <c r="B149" s="100" t="n"/>
      <c r="C149" s="100" t="n"/>
      <c r="D149" s="100" t="n"/>
      <c r="E149" s="101" t="n"/>
      <c r="F149" s="101" t="n"/>
      <c r="G149" s="102" t="n"/>
      <c r="H149" s="100" t="n"/>
    </row>
    <row r="150" ht="15" customHeight="1" s="52">
      <c r="A150" s="102" t="n"/>
      <c r="B150" s="100" t="n"/>
      <c r="C150" s="100" t="n"/>
      <c r="D150" s="100" t="n"/>
      <c r="E150" s="101" t="n"/>
      <c r="F150" s="101" t="n"/>
      <c r="G150" s="102" t="n"/>
      <c r="H150" s="100" t="n"/>
    </row>
    <row r="151" ht="15" customHeight="1" s="52">
      <c r="A151" s="102" t="n"/>
      <c r="B151" s="100" t="n"/>
      <c r="C151" s="100" t="n"/>
      <c r="D151" s="100" t="n"/>
      <c r="E151" s="101" t="n"/>
      <c r="F151" s="101" t="n"/>
      <c r="G151" s="102" t="n"/>
      <c r="H151" s="100" t="n"/>
    </row>
    <row r="152" ht="15" customHeight="1" s="52">
      <c r="A152" s="102" t="n"/>
      <c r="B152" s="100" t="n"/>
      <c r="C152" s="100" t="n"/>
      <c r="D152" s="100" t="n"/>
      <c r="E152" s="101" t="n"/>
      <c r="F152" s="101" t="n"/>
      <c r="G152" s="102" t="n"/>
      <c r="H152" s="100" t="n"/>
    </row>
    <row r="153" ht="15" customHeight="1" s="52">
      <c r="A153" s="102" t="n"/>
      <c r="B153" s="100" t="n"/>
      <c r="C153" s="100" t="n"/>
      <c r="D153" s="100" t="n"/>
      <c r="E153" s="101" t="n"/>
      <c r="F153" s="101" t="n"/>
      <c r="G153" s="102" t="n"/>
      <c r="H153" s="100" t="n"/>
    </row>
    <row r="154" ht="15" customHeight="1" s="52">
      <c r="A154" s="102" t="n"/>
      <c r="B154" s="100" t="n"/>
      <c r="C154" s="100" t="n"/>
      <c r="D154" s="100" t="n"/>
      <c r="E154" s="101" t="n"/>
      <c r="F154" s="101" t="n"/>
      <c r="G154" s="102" t="n"/>
      <c r="H154" s="100" t="n"/>
    </row>
    <row r="155" ht="15" customHeight="1" s="52">
      <c r="A155" s="102" t="n"/>
      <c r="B155" s="100" t="n"/>
      <c r="C155" s="100" t="n"/>
      <c r="D155" s="100" t="n"/>
      <c r="E155" s="101" t="n"/>
      <c r="F155" s="101" t="n"/>
      <c r="G155" s="102" t="n"/>
      <c r="H155" s="100" t="n"/>
    </row>
    <row r="156" ht="15" customHeight="1" s="52">
      <c r="A156" s="102" t="n"/>
      <c r="B156" s="100" t="n"/>
      <c r="C156" s="100" t="n"/>
      <c r="D156" s="100" t="n"/>
      <c r="E156" s="101" t="n"/>
      <c r="F156" s="101" t="n"/>
      <c r="G156" s="102" t="n"/>
      <c r="H156" s="100" t="n"/>
    </row>
    <row r="157" ht="15" customHeight="1" s="52">
      <c r="A157" s="102" t="n"/>
      <c r="B157" s="100" t="n"/>
      <c r="C157" s="100" t="n"/>
      <c r="D157" s="100" t="n"/>
      <c r="E157" s="101" t="n"/>
      <c r="F157" s="101" t="n"/>
      <c r="G157" s="102" t="n"/>
      <c r="H157" s="100" t="n"/>
    </row>
    <row r="158" ht="15" customHeight="1" s="52">
      <c r="A158" s="102" t="n"/>
      <c r="B158" s="100" t="n"/>
      <c r="C158" s="100" t="n"/>
      <c r="D158" s="100" t="n"/>
      <c r="E158" s="101" t="n"/>
      <c r="F158" s="101" t="n"/>
      <c r="G158" s="102" t="n"/>
      <c r="H158" s="100" t="n"/>
    </row>
    <row r="159" ht="15" customHeight="1" s="52">
      <c r="A159" s="102" t="n"/>
      <c r="B159" s="100" t="n"/>
      <c r="C159" s="100" t="n"/>
      <c r="D159" s="100" t="n"/>
      <c r="E159" s="101" t="n"/>
      <c r="F159" s="101" t="n"/>
      <c r="G159" s="102" t="n"/>
      <c r="H159" s="100" t="n"/>
    </row>
    <row r="160" ht="15" customHeight="1" s="52">
      <c r="A160" s="102" t="n"/>
      <c r="B160" s="100" t="n"/>
      <c r="C160" s="100" t="n"/>
      <c r="D160" s="100" t="n"/>
      <c r="E160" s="101" t="n"/>
      <c r="F160" s="101" t="n"/>
      <c r="G160" s="102" t="n"/>
      <c r="H160" s="100" t="n"/>
    </row>
    <row r="161" ht="15" customHeight="1" s="52">
      <c r="A161" s="102" t="n"/>
      <c r="B161" s="100" t="n"/>
      <c r="C161" s="100" t="n"/>
      <c r="D161" s="100" t="n"/>
      <c r="E161" s="101" t="n"/>
      <c r="F161" s="101" t="n"/>
      <c r="G161" s="102" t="n"/>
      <c r="H161" s="100" t="n"/>
    </row>
    <row r="162" ht="15" customHeight="1" s="52">
      <c r="A162" s="102" t="n"/>
      <c r="B162" s="100" t="n"/>
      <c r="C162" s="100" t="n"/>
      <c r="D162" s="100" t="n"/>
      <c r="E162" s="101" t="n"/>
      <c r="F162" s="101" t="n"/>
      <c r="G162" s="102" t="n"/>
      <c r="H162" s="100" t="n"/>
    </row>
    <row r="163" ht="15" customHeight="1" s="52">
      <c r="A163" s="102" t="n"/>
      <c r="B163" s="100" t="n"/>
      <c r="C163" s="100" t="n"/>
      <c r="D163" s="100" t="n"/>
      <c r="E163" s="101" t="n"/>
      <c r="F163" s="101" t="n"/>
      <c r="G163" s="102" t="n"/>
      <c r="H163" s="100" t="n"/>
    </row>
    <row r="164" ht="15" customHeight="1" s="52">
      <c r="A164" s="102" t="n"/>
      <c r="B164" s="100" t="n"/>
      <c r="C164" s="100" t="n"/>
      <c r="D164" s="100" t="n"/>
      <c r="E164" s="101" t="n"/>
      <c r="F164" s="101" t="n"/>
      <c r="G164" s="102" t="n"/>
      <c r="H164" s="100" t="n"/>
    </row>
    <row r="165" ht="15" customHeight="1" s="52">
      <c r="A165" s="102" t="n"/>
      <c r="B165" s="100" t="n"/>
      <c r="C165" s="100" t="n"/>
      <c r="D165" s="100" t="n"/>
      <c r="E165" s="101" t="n"/>
      <c r="F165" s="101" t="n"/>
      <c r="G165" s="102" t="n"/>
      <c r="H165" s="100" t="n"/>
    </row>
    <row r="166" ht="15" customHeight="1" s="52">
      <c r="A166" s="102" t="n"/>
      <c r="B166" s="100" t="n"/>
      <c r="C166" s="100" t="n"/>
      <c r="D166" s="100" t="n"/>
      <c r="E166" s="101" t="n"/>
      <c r="F166" s="101" t="n"/>
      <c r="G166" s="102" t="n"/>
      <c r="H166" s="100" t="n"/>
    </row>
    <row r="167" ht="15" customHeight="1" s="52">
      <c r="A167" s="102" t="n"/>
      <c r="B167" s="100" t="n"/>
      <c r="C167" s="100" t="n"/>
      <c r="D167" s="100" t="n"/>
      <c r="E167" s="101" t="n"/>
      <c r="F167" s="101" t="n"/>
      <c r="G167" s="102" t="n"/>
      <c r="H167" s="100" t="n"/>
    </row>
    <row r="168" ht="15" customHeight="1" s="52">
      <c r="A168" s="102" t="n"/>
      <c r="B168" s="100" t="n"/>
      <c r="C168" s="100" t="n"/>
      <c r="D168" s="100" t="n"/>
      <c r="E168" s="101" t="n"/>
      <c r="F168" s="101" t="n"/>
      <c r="G168" s="102" t="n"/>
      <c r="H168" s="100" t="n"/>
    </row>
    <row r="169" ht="15" customHeight="1" s="52">
      <c r="A169" s="102" t="n"/>
      <c r="B169" s="100" t="n"/>
      <c r="C169" s="100" t="n"/>
      <c r="D169" s="100" t="n"/>
      <c r="E169" s="101" t="n"/>
      <c r="F169" s="101" t="n"/>
      <c r="G169" s="102" t="n"/>
      <c r="H169" s="100" t="n"/>
    </row>
    <row r="170" ht="15" customHeight="1" s="52">
      <c r="A170" s="102" t="n"/>
      <c r="B170" s="100" t="n"/>
      <c r="C170" s="100" t="n"/>
      <c r="D170" s="100" t="n"/>
      <c r="E170" s="101" t="n"/>
      <c r="F170" s="101" t="n"/>
      <c r="G170" s="102" t="n"/>
      <c r="H170" s="100" t="n"/>
    </row>
    <row r="171" ht="15" customHeight="1" s="52">
      <c r="A171" s="102" t="n"/>
      <c r="B171" s="100" t="n"/>
      <c r="C171" s="100" t="n"/>
      <c r="D171" s="100" t="n"/>
      <c r="E171" s="101" t="n"/>
      <c r="F171" s="101" t="n"/>
      <c r="G171" s="102" t="n"/>
      <c r="H171" s="100" t="n"/>
    </row>
    <row r="172" ht="15" customHeight="1" s="52">
      <c r="A172" s="102" t="n"/>
      <c r="B172" s="100" t="n"/>
      <c r="C172" s="100" t="n"/>
      <c r="D172" s="100" t="n"/>
      <c r="E172" s="101" t="n"/>
      <c r="F172" s="101" t="n"/>
      <c r="G172" s="102" t="n"/>
      <c r="H172" s="100" t="n"/>
    </row>
    <row r="173" ht="15" customHeight="1" s="52">
      <c r="A173" s="102" t="n"/>
      <c r="B173" s="100" t="n"/>
      <c r="C173" s="100" t="n"/>
      <c r="D173" s="100" t="n"/>
      <c r="E173" s="101" t="n"/>
      <c r="F173" s="101" t="n"/>
      <c r="G173" s="102" t="n"/>
      <c r="H173" s="100" t="n"/>
    </row>
    <row r="174" ht="15" customHeight="1" s="52">
      <c r="A174" s="102" t="n"/>
      <c r="B174" s="100" t="n"/>
      <c r="C174" s="100" t="n"/>
      <c r="D174" s="100" t="n"/>
      <c r="E174" s="101" t="n"/>
      <c r="F174" s="101" t="n"/>
      <c r="G174" s="102" t="n"/>
      <c r="H174" s="100" t="n"/>
    </row>
    <row r="175" ht="15" customHeight="1" s="52">
      <c r="A175" s="102" t="n"/>
      <c r="B175" s="100" t="n"/>
      <c r="C175" s="100" t="n"/>
      <c r="D175" s="100" t="n"/>
      <c r="E175" s="101" t="n"/>
      <c r="F175" s="101" t="n"/>
      <c r="G175" s="102" t="n"/>
      <c r="H175" s="100" t="n"/>
    </row>
    <row r="176" ht="15" customHeight="1" s="52">
      <c r="A176" s="102" t="n"/>
      <c r="B176" s="100" t="n"/>
      <c r="C176" s="100" t="n"/>
      <c r="D176" s="100" t="n"/>
      <c r="E176" s="101" t="n"/>
      <c r="F176" s="101" t="n"/>
      <c r="G176" s="102" t="n"/>
      <c r="H176" s="100" t="n"/>
    </row>
    <row r="177" ht="15" customHeight="1" s="52">
      <c r="A177" s="102" t="n"/>
      <c r="B177" s="100" t="n"/>
      <c r="C177" s="100" t="n"/>
      <c r="D177" s="100" t="n"/>
      <c r="E177" s="101" t="n"/>
      <c r="F177" s="101" t="n"/>
      <c r="G177" s="102" t="n"/>
      <c r="H177" s="100" t="n"/>
    </row>
    <row r="178" ht="15" customHeight="1" s="52">
      <c r="A178" s="102" t="n"/>
      <c r="B178" s="100" t="n"/>
      <c r="C178" s="100" t="n"/>
      <c r="D178" s="100" t="n"/>
      <c r="E178" s="101" t="n"/>
      <c r="F178" s="101" t="n"/>
      <c r="G178" s="102" t="n"/>
      <c r="H178" s="100" t="n"/>
    </row>
    <row r="179" ht="15" customHeight="1" s="52">
      <c r="A179" s="102" t="n"/>
      <c r="B179" s="100" t="n"/>
      <c r="C179" s="100" t="n"/>
      <c r="D179" s="100" t="n"/>
      <c r="E179" s="101" t="n"/>
      <c r="F179" s="101" t="n"/>
      <c r="G179" s="102" t="n"/>
      <c r="H179" s="100" t="n"/>
    </row>
    <row r="180" ht="15" customHeight="1" s="52">
      <c r="A180" s="102" t="n"/>
      <c r="B180" s="100" t="n"/>
      <c r="C180" s="100" t="n"/>
      <c r="D180" s="100" t="n"/>
      <c r="E180" s="101" t="n"/>
      <c r="F180" s="101" t="n"/>
      <c r="G180" s="102" t="n"/>
      <c r="H180" s="100" t="n"/>
    </row>
    <row r="181" ht="15" customHeight="1" s="52">
      <c r="A181" s="102" t="n"/>
      <c r="B181" s="100" t="n"/>
      <c r="C181" s="100" t="n"/>
      <c r="D181" s="100" t="n"/>
      <c r="E181" s="101" t="n"/>
      <c r="F181" s="101" t="n"/>
      <c r="G181" s="102" t="n"/>
      <c r="H181" s="100" t="n"/>
    </row>
    <row r="182" ht="15" customHeight="1" s="52">
      <c r="A182" s="102" t="n"/>
      <c r="B182" s="100" t="n"/>
      <c r="C182" s="100" t="n"/>
      <c r="D182" s="100" t="n"/>
      <c r="E182" s="101" t="n"/>
      <c r="F182" s="101" t="n"/>
      <c r="G182" s="102" t="n"/>
      <c r="H182" s="100" t="n"/>
    </row>
    <row r="183" ht="15" customHeight="1" s="52">
      <c r="A183" s="102" t="n"/>
      <c r="B183" s="100" t="n"/>
      <c r="C183" s="100" t="n"/>
      <c r="D183" s="100" t="n"/>
      <c r="E183" s="101" t="n"/>
      <c r="F183" s="101" t="n"/>
      <c r="G183" s="102" t="n"/>
      <c r="H183" s="100" t="n"/>
    </row>
    <row r="184" ht="15" customHeight="1" s="52">
      <c r="A184" s="102" t="n"/>
      <c r="B184" s="100" t="n"/>
      <c r="C184" s="100" t="n"/>
      <c r="D184" s="100" t="n"/>
      <c r="E184" s="101" t="n"/>
      <c r="F184" s="101" t="n"/>
      <c r="G184" s="102" t="n"/>
      <c r="H184" s="100" t="n"/>
    </row>
    <row r="185" ht="15" customHeight="1" s="52">
      <c r="A185" s="102" t="n"/>
      <c r="B185" s="100" t="n"/>
      <c r="C185" s="100" t="n"/>
      <c r="D185" s="100" t="n"/>
      <c r="E185" s="101" t="n"/>
      <c r="F185" s="101" t="n"/>
      <c r="G185" s="102" t="n"/>
      <c r="H185" s="100" t="n"/>
    </row>
    <row r="186" ht="15" customHeight="1" s="52">
      <c r="A186" s="102" t="n"/>
      <c r="B186" s="100" t="n"/>
      <c r="C186" s="100" t="n"/>
      <c r="D186" s="100" t="n"/>
      <c r="E186" s="101" t="n"/>
      <c r="F186" s="101" t="n"/>
      <c r="G186" s="102" t="n"/>
      <c r="H186" s="100" t="n"/>
    </row>
    <row r="187" ht="15" customHeight="1" s="52">
      <c r="A187" s="102" t="n"/>
      <c r="B187" s="100" t="n"/>
      <c r="C187" s="100" t="n"/>
      <c r="D187" s="100" t="n"/>
      <c r="E187" s="101" t="n"/>
      <c r="F187" s="101" t="n"/>
      <c r="G187" s="102" t="n"/>
      <c r="H187" s="100" t="n"/>
    </row>
    <row r="188" ht="15" customHeight="1" s="52">
      <c r="A188" s="102" t="n"/>
      <c r="B188" s="100" t="n"/>
      <c r="C188" s="100" t="n"/>
      <c r="D188" s="100" t="n"/>
      <c r="E188" s="101" t="n"/>
      <c r="F188" s="101" t="n"/>
      <c r="G188" s="102" t="n"/>
      <c r="H188" s="100" t="n"/>
    </row>
    <row r="189" ht="15" customHeight="1" s="52">
      <c r="A189" s="102" t="n"/>
      <c r="B189" s="100" t="n"/>
      <c r="C189" s="100" t="n"/>
      <c r="D189" s="100" t="n"/>
      <c r="E189" s="101" t="n"/>
      <c r="F189" s="101" t="n"/>
      <c r="G189" s="102" t="n"/>
      <c r="H189" s="100" t="n"/>
    </row>
    <row r="190" ht="15" customHeight="1" s="52">
      <c r="A190" s="102" t="n"/>
      <c r="B190" s="100" t="n"/>
      <c r="C190" s="100" t="n"/>
      <c r="D190" s="100" t="n"/>
      <c r="E190" s="101" t="n"/>
      <c r="F190" s="101" t="n"/>
      <c r="G190" s="102" t="n"/>
      <c r="H190" s="100" t="n"/>
    </row>
    <row r="191" ht="15" customHeight="1" s="52">
      <c r="A191" s="102" t="n"/>
      <c r="B191" s="100" t="n"/>
      <c r="C191" s="100" t="n"/>
      <c r="D191" s="100" t="n"/>
      <c r="E191" s="101" t="n"/>
      <c r="F191" s="101" t="n"/>
      <c r="G191" s="102" t="n"/>
      <c r="H191" s="100" t="n"/>
    </row>
    <row r="192" ht="15" customHeight="1" s="52">
      <c r="A192" s="102" t="n"/>
      <c r="B192" s="100" t="n"/>
      <c r="C192" s="100" t="n"/>
      <c r="D192" s="100" t="n"/>
      <c r="E192" s="101" t="n"/>
      <c r="F192" s="101" t="n"/>
      <c r="G192" s="102" t="n"/>
      <c r="H192" s="100" t="n"/>
    </row>
    <row r="193" ht="15" customHeight="1" s="52">
      <c r="A193" s="102" t="n"/>
      <c r="B193" s="100" t="n"/>
      <c r="C193" s="100" t="n"/>
      <c r="D193" s="100" t="n"/>
      <c r="E193" s="101" t="n"/>
      <c r="F193" s="101" t="n"/>
      <c r="G193" s="102" t="n"/>
      <c r="H193" s="100" t="n"/>
    </row>
    <row r="194" ht="15" customHeight="1" s="52">
      <c r="A194" s="102" t="n"/>
      <c r="B194" s="100" t="n"/>
      <c r="C194" s="100" t="n"/>
      <c r="D194" s="100" t="n"/>
      <c r="E194" s="101" t="n"/>
      <c r="F194" s="101" t="n"/>
      <c r="G194" s="102" t="n"/>
      <c r="H194" s="100" t="n"/>
    </row>
    <row r="195" ht="15" customHeight="1" s="52">
      <c r="A195" s="102" t="n"/>
      <c r="B195" s="100" t="n"/>
      <c r="C195" s="100" t="n"/>
      <c r="D195" s="100" t="n"/>
      <c r="E195" s="101" t="n"/>
      <c r="F195" s="101" t="n"/>
      <c r="G195" s="102" t="n"/>
      <c r="H195" s="100" t="n"/>
    </row>
    <row r="196" ht="15" customHeight="1" s="52"/>
    <row r="197" ht="15" customHeight="1" s="52"/>
    <row r="198" ht="15" customHeight="1" s="52"/>
    <row r="199" ht="15" customHeight="1" s="52"/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F4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22" customWidth="1" style="51" min="2" max="3"/>
    <col width="14" customWidth="1" style="51" min="4" max="4"/>
    <col width="22" customWidth="1" style="51" min="5" max="5"/>
    <col width="30" customWidth="1" style="51" min="6" max="6"/>
  </cols>
  <sheetData>
    <row r="1" ht="27.75" customHeight="1" s="52">
      <c r="A1" s="53" t="inlineStr">
        <is>
          <t xml:space="preserve">  EXPENSE LEDGER  —  Add one row per expense</t>
        </is>
      </c>
    </row>
    <row r="2" ht="21.75" customHeight="1" s="52">
      <c r="A2" s="54" t="inlineStr">
        <is>
          <t xml:space="preserve">  Categories mirror the income statement: Payroll, Office, Marketing &amp; BD, Travel, Software, Taxes, Miscellaneous.</t>
        </is>
      </c>
    </row>
    <row r="3"/>
    <row r="4" ht="30" customHeight="1" s="52">
      <c r="A4" s="64" t="inlineStr">
        <is>
          <t>Date</t>
        </is>
      </c>
      <c r="B4" s="64" t="inlineStr">
        <is>
          <t>Category</t>
        </is>
      </c>
      <c r="C4" s="64" t="inlineStr">
        <is>
          <t>Sub-Category</t>
        </is>
      </c>
      <c r="D4" s="64" t="inlineStr">
        <is>
          <t>Amount</t>
        </is>
      </c>
      <c r="E4" s="64" t="inlineStr">
        <is>
          <t>Vendor</t>
        </is>
      </c>
      <c r="F4" s="64" t="inlineStr">
        <is>
          <t>Notes</t>
        </is>
      </c>
    </row>
    <row r="5" ht="15" customHeight="1" s="52">
      <c r="A5" s="102" t="n"/>
      <c r="B5" s="100" t="n"/>
      <c r="C5" s="100" t="n"/>
      <c r="D5" s="101" t="n"/>
      <c r="E5" s="100" t="n"/>
      <c r="F5" s="100" t="n"/>
    </row>
    <row r="6" ht="15" customHeight="1" s="52">
      <c r="A6" s="102" t="n"/>
      <c r="B6" s="100" t="n"/>
      <c r="C6" s="100" t="n"/>
      <c r="D6" s="101" t="n"/>
      <c r="E6" s="100" t="n"/>
      <c r="F6" s="100" t="n"/>
    </row>
    <row r="7" ht="15" customHeight="1" s="52">
      <c r="A7" s="102" t="n"/>
      <c r="B7" s="100" t="n"/>
      <c r="C7" s="100" t="n"/>
      <c r="D7" s="101" t="n"/>
      <c r="E7" s="100" t="n"/>
      <c r="F7" s="100" t="n"/>
    </row>
    <row r="8" ht="15" customHeight="1" s="52">
      <c r="A8" s="102" t="n"/>
      <c r="B8" s="100" t="n"/>
      <c r="C8" s="100" t="n"/>
      <c r="D8" s="101" t="n"/>
      <c r="E8" s="100" t="n"/>
      <c r="F8" s="100" t="n"/>
    </row>
    <row r="9" ht="15" customHeight="1" s="52">
      <c r="A9" s="102" t="n"/>
      <c r="B9" s="100" t="n"/>
      <c r="C9" s="100" t="n"/>
      <c r="D9" s="101" t="n"/>
      <c r="E9" s="100" t="n"/>
      <c r="F9" s="100" t="n"/>
    </row>
    <row r="10" ht="15" customHeight="1" s="52">
      <c r="A10" s="102" t="n"/>
      <c r="B10" s="100" t="n"/>
      <c r="C10" s="100" t="n"/>
      <c r="D10" s="101" t="n"/>
      <c r="E10" s="100" t="n"/>
      <c r="F10" s="100" t="n"/>
    </row>
    <row r="11" ht="15" customHeight="1" s="52">
      <c r="A11" s="102" t="n"/>
      <c r="B11" s="100" t="n"/>
      <c r="C11" s="100" t="n"/>
      <c r="D11" s="101" t="n"/>
      <c r="E11" s="100" t="n"/>
      <c r="F11" s="100" t="n"/>
    </row>
    <row r="12" ht="15" customHeight="1" s="52">
      <c r="A12" s="102" t="n"/>
      <c r="B12" s="100" t="n"/>
      <c r="C12" s="100" t="n"/>
      <c r="D12" s="101" t="n"/>
      <c r="E12" s="100" t="n"/>
      <c r="F12" s="100" t="n"/>
    </row>
    <row r="13" ht="15" customHeight="1" s="52">
      <c r="A13" s="102" t="n"/>
      <c r="B13" s="100" t="n"/>
      <c r="C13" s="100" t="n"/>
      <c r="D13" s="101" t="n"/>
      <c r="E13" s="100" t="n"/>
      <c r="F13" s="100" t="n"/>
    </row>
    <row r="14" ht="15" customHeight="1" s="52">
      <c r="A14" s="102" t="n"/>
      <c r="B14" s="100" t="n"/>
      <c r="C14" s="100" t="n"/>
      <c r="D14" s="101" t="n"/>
      <c r="E14" s="100" t="n"/>
      <c r="F14" s="100" t="n"/>
    </row>
    <row r="15" ht="15" customHeight="1" s="52">
      <c r="A15" s="102" t="n"/>
      <c r="B15" s="100" t="n"/>
      <c r="C15" s="100" t="n"/>
      <c r="D15" s="101" t="n"/>
      <c r="E15" s="100" t="n"/>
      <c r="F15" s="100" t="n"/>
    </row>
    <row r="16" ht="15" customHeight="1" s="52">
      <c r="A16" s="102" t="n"/>
      <c r="B16" s="100" t="n"/>
      <c r="C16" s="100" t="n"/>
      <c r="D16" s="101" t="n"/>
      <c r="E16" s="100" t="n"/>
      <c r="F16" s="100" t="n"/>
    </row>
    <row r="17" ht="15" customHeight="1" s="52">
      <c r="A17" s="102" t="n"/>
      <c r="B17" s="100" t="n"/>
      <c r="C17" s="100" t="n"/>
      <c r="D17" s="101" t="n"/>
      <c r="E17" s="100" t="n"/>
      <c r="F17" s="100" t="n"/>
    </row>
    <row r="18" ht="15" customHeight="1" s="52">
      <c r="A18" s="102" t="n"/>
      <c r="B18" s="100" t="n"/>
      <c r="C18" s="100" t="n"/>
      <c r="D18" s="101" t="n"/>
      <c r="E18" s="100" t="n"/>
      <c r="F18" s="100" t="n"/>
    </row>
    <row r="19" ht="15" customHeight="1" s="52">
      <c r="A19" s="102" t="n"/>
      <c r="B19" s="100" t="n"/>
      <c r="C19" s="100" t="n"/>
      <c r="D19" s="101" t="n"/>
      <c r="E19" s="100" t="n"/>
      <c r="F19" s="100" t="n"/>
    </row>
    <row r="20" ht="15" customHeight="1" s="52">
      <c r="A20" s="102" t="n"/>
      <c r="B20" s="100" t="n"/>
      <c r="C20" s="100" t="n"/>
      <c r="D20" s="101" t="n"/>
      <c r="E20" s="100" t="n"/>
      <c r="F20" s="100" t="n"/>
    </row>
    <row r="21" ht="15" customHeight="1" s="52">
      <c r="A21" s="102" t="n"/>
      <c r="B21" s="100" t="n"/>
      <c r="C21" s="100" t="n"/>
      <c r="D21" s="101" t="n"/>
      <c r="E21" s="100" t="n"/>
      <c r="F21" s="100" t="n"/>
    </row>
    <row r="22" ht="15" customHeight="1" s="52">
      <c r="A22" s="102" t="n"/>
      <c r="B22" s="100" t="n"/>
      <c r="C22" s="100" t="n"/>
      <c r="D22" s="101" t="n"/>
      <c r="E22" s="100" t="n"/>
      <c r="F22" s="100" t="n"/>
    </row>
    <row r="23" ht="15" customHeight="1" s="52">
      <c r="A23" s="102" t="n"/>
      <c r="B23" s="100" t="n"/>
      <c r="C23" s="100" t="n"/>
      <c r="D23" s="101" t="n"/>
      <c r="E23" s="100" t="n"/>
      <c r="F23" s="100" t="n"/>
    </row>
    <row r="24" ht="15" customHeight="1" s="52">
      <c r="A24" s="102" t="n"/>
      <c r="B24" s="100" t="n"/>
      <c r="C24" s="100" t="n"/>
      <c r="D24" s="101" t="n"/>
      <c r="E24" s="100" t="n"/>
      <c r="F24" s="100" t="n"/>
    </row>
    <row r="25" ht="15" customHeight="1" s="52">
      <c r="A25" s="102" t="n"/>
      <c r="B25" s="100" t="n"/>
      <c r="C25" s="100" t="n"/>
      <c r="D25" s="101" t="n"/>
      <c r="E25" s="100" t="n"/>
      <c r="F25" s="100" t="n"/>
    </row>
    <row r="26" ht="15" customHeight="1" s="52">
      <c r="A26" s="102" t="n"/>
      <c r="B26" s="100" t="n"/>
      <c r="C26" s="100" t="n"/>
      <c r="D26" s="101" t="n"/>
      <c r="E26" s="100" t="n"/>
      <c r="F26" s="100" t="n"/>
    </row>
    <row r="27" ht="15" customHeight="1" s="52">
      <c r="A27" s="102" t="n"/>
      <c r="B27" s="100" t="n"/>
      <c r="C27" s="100" t="n"/>
      <c r="D27" s="101" t="n"/>
      <c r="E27" s="100" t="n"/>
      <c r="F27" s="100" t="n"/>
    </row>
    <row r="28" ht="15" customHeight="1" s="52">
      <c r="A28" s="102" t="n"/>
      <c r="B28" s="100" t="n"/>
      <c r="C28" s="100" t="n"/>
      <c r="D28" s="101" t="n"/>
      <c r="E28" s="100" t="n"/>
      <c r="F28" s="100" t="n"/>
    </row>
    <row r="29" ht="15" customHeight="1" s="52">
      <c r="A29" s="102" t="n"/>
      <c r="B29" s="100" t="n"/>
      <c r="C29" s="100" t="n"/>
      <c r="D29" s="101" t="n"/>
      <c r="E29" s="100" t="n"/>
      <c r="F29" s="100" t="n"/>
    </row>
    <row r="30" ht="15" customHeight="1" s="52">
      <c r="A30" s="102" t="n"/>
      <c r="B30" s="100" t="n"/>
      <c r="C30" s="100" t="n"/>
      <c r="D30" s="101" t="n"/>
      <c r="E30" s="100" t="n"/>
      <c r="F30" s="100" t="n"/>
    </row>
    <row r="31" ht="15" customHeight="1" s="52">
      <c r="A31" s="102" t="n"/>
      <c r="B31" s="100" t="n"/>
      <c r="C31" s="100" t="n"/>
      <c r="D31" s="101" t="n"/>
      <c r="E31" s="100" t="n"/>
      <c r="F31" s="100" t="n"/>
    </row>
    <row r="32" ht="15" customHeight="1" s="52">
      <c r="A32" s="102" t="n"/>
      <c r="B32" s="100" t="n"/>
      <c r="C32" s="100" t="n"/>
      <c r="D32" s="101" t="n"/>
      <c r="E32" s="100" t="n"/>
      <c r="F32" s="100" t="n"/>
    </row>
    <row r="33" ht="15" customHeight="1" s="52">
      <c r="A33" s="102" t="n"/>
      <c r="B33" s="100" t="n"/>
      <c r="C33" s="100" t="n"/>
      <c r="D33" s="101" t="n"/>
      <c r="E33" s="100" t="n"/>
      <c r="F33" s="100" t="n"/>
    </row>
    <row r="34" ht="15" customHeight="1" s="52">
      <c r="A34" s="102" t="n"/>
      <c r="B34" s="100" t="n"/>
      <c r="C34" s="100" t="n"/>
      <c r="D34" s="101" t="n"/>
      <c r="E34" s="100" t="n"/>
      <c r="F34" s="100" t="n"/>
    </row>
    <row r="35" ht="15" customHeight="1" s="52">
      <c r="A35" s="102" t="n"/>
      <c r="B35" s="100" t="n"/>
      <c r="C35" s="100" t="n"/>
      <c r="D35" s="101" t="n"/>
      <c r="E35" s="100" t="n"/>
      <c r="F35" s="100" t="n"/>
    </row>
    <row r="36" ht="15" customHeight="1" s="52">
      <c r="A36" s="102" t="n"/>
      <c r="B36" s="100" t="n"/>
      <c r="C36" s="100" t="n"/>
      <c r="D36" s="101" t="n"/>
      <c r="E36" s="100" t="n"/>
      <c r="F36" s="100" t="n"/>
    </row>
    <row r="37" ht="15" customHeight="1" s="52">
      <c r="A37" s="102" t="n"/>
      <c r="B37" s="100" t="n"/>
      <c r="C37" s="100" t="n"/>
      <c r="D37" s="101" t="n"/>
      <c r="E37" s="100" t="n"/>
      <c r="F37" s="100" t="n"/>
    </row>
    <row r="38" ht="15" customHeight="1" s="52">
      <c r="A38" s="102" t="n"/>
      <c r="B38" s="100" t="n"/>
      <c r="C38" s="100" t="n"/>
      <c r="D38" s="101" t="n"/>
      <c r="E38" s="100" t="n"/>
      <c r="F38" s="100" t="n"/>
    </row>
    <row r="39" ht="15" customHeight="1" s="52">
      <c r="A39" s="102" t="n"/>
      <c r="B39" s="100" t="n"/>
      <c r="C39" s="100" t="n"/>
      <c r="D39" s="101" t="n"/>
      <c r="E39" s="100" t="n"/>
      <c r="F39" s="100" t="n"/>
    </row>
    <row r="40" ht="15" customHeight="1" s="52">
      <c r="A40" s="102" t="n"/>
      <c r="B40" s="100" t="n"/>
      <c r="C40" s="100" t="n"/>
      <c r="D40" s="101" t="n"/>
      <c r="E40" s="100" t="n"/>
      <c r="F40" s="100" t="n"/>
    </row>
    <row r="41" ht="15" customHeight="1" s="52">
      <c r="A41" s="102" t="n"/>
      <c r="B41" s="100" t="n"/>
      <c r="C41" s="100" t="n"/>
      <c r="D41" s="101" t="n"/>
      <c r="E41" s="100" t="n"/>
      <c r="F41" s="100" t="n"/>
    </row>
    <row r="42" ht="15" customHeight="1" s="52">
      <c r="A42" s="102" t="n"/>
      <c r="B42" s="100" t="n"/>
      <c r="C42" s="100" t="n"/>
      <c r="D42" s="101" t="n"/>
      <c r="E42" s="100" t="n"/>
      <c r="F42" s="100" t="n"/>
    </row>
    <row r="43" ht="15" customHeight="1" s="52">
      <c r="A43" s="102" t="n"/>
      <c r="B43" s="100" t="n"/>
      <c r="C43" s="100" t="n"/>
      <c r="D43" s="101" t="n"/>
      <c r="E43" s="100" t="n"/>
      <c r="F43" s="100" t="n"/>
    </row>
    <row r="44" ht="15" customHeight="1" s="52">
      <c r="A44" s="102" t="n"/>
      <c r="B44" s="100" t="n"/>
      <c r="C44" s="100" t="n"/>
      <c r="D44" s="101" t="n"/>
      <c r="E44" s="100" t="n"/>
      <c r="F44" s="100" t="n"/>
    </row>
    <row r="45" ht="15" customHeight="1" s="52">
      <c r="A45" s="102" t="n"/>
      <c r="B45" s="100" t="n"/>
      <c r="C45" s="100" t="n"/>
      <c r="D45" s="101" t="n"/>
      <c r="E45" s="100" t="n"/>
      <c r="F45" s="100" t="n"/>
    </row>
    <row r="46" ht="15" customHeight="1" s="52">
      <c r="A46" s="102" t="n"/>
      <c r="B46" s="100" t="n"/>
      <c r="C46" s="100" t="n"/>
      <c r="D46" s="101" t="n"/>
      <c r="E46" s="100" t="n"/>
      <c r="F46" s="100" t="n"/>
    </row>
    <row r="47" ht="15" customHeight="1" s="52">
      <c r="A47" s="102" t="n"/>
      <c r="B47" s="100" t="n"/>
      <c r="C47" s="100" t="n"/>
      <c r="D47" s="101" t="n"/>
      <c r="E47" s="100" t="n"/>
      <c r="F47" s="100" t="n"/>
    </row>
    <row r="48" ht="15" customHeight="1" s="52">
      <c r="A48" s="102" t="n"/>
      <c r="B48" s="100" t="n"/>
      <c r="C48" s="100" t="n"/>
      <c r="D48" s="101" t="n"/>
      <c r="E48" s="100" t="n"/>
      <c r="F48" s="100" t="n"/>
    </row>
    <row r="49" ht="15" customHeight="1" s="52">
      <c r="A49" s="102" t="n"/>
      <c r="B49" s="100" t="n"/>
      <c r="C49" s="100" t="n"/>
      <c r="D49" s="101" t="n"/>
      <c r="E49" s="100" t="n"/>
      <c r="F49" s="100" t="n"/>
    </row>
    <row r="50" ht="15" customHeight="1" s="52">
      <c r="A50" s="102" t="n"/>
      <c r="B50" s="100" t="n"/>
      <c r="C50" s="100" t="n"/>
      <c r="D50" s="101" t="n"/>
      <c r="E50" s="100" t="n"/>
      <c r="F50" s="100" t="n"/>
    </row>
    <row r="51" ht="15" customHeight="1" s="52">
      <c r="A51" s="102" t="n"/>
      <c r="B51" s="100" t="n"/>
      <c r="C51" s="100" t="n"/>
      <c r="D51" s="101" t="n"/>
      <c r="E51" s="100" t="n"/>
      <c r="F51" s="100" t="n"/>
    </row>
    <row r="52" ht="15" customHeight="1" s="52">
      <c r="A52" s="102" t="n"/>
      <c r="B52" s="100" t="n"/>
      <c r="C52" s="100" t="n"/>
      <c r="D52" s="101" t="n"/>
      <c r="E52" s="100" t="n"/>
      <c r="F52" s="100" t="n"/>
    </row>
    <row r="53" ht="15" customHeight="1" s="52">
      <c r="A53" s="102" t="n"/>
      <c r="B53" s="100" t="n"/>
      <c r="C53" s="100" t="n"/>
      <c r="D53" s="101" t="n"/>
      <c r="E53" s="100" t="n"/>
      <c r="F53" s="100" t="n"/>
    </row>
    <row r="54" ht="15" customHeight="1" s="52">
      <c r="A54" s="102" t="n"/>
      <c r="B54" s="100" t="n"/>
      <c r="C54" s="100" t="n"/>
      <c r="D54" s="101" t="n"/>
      <c r="E54" s="100" t="n"/>
      <c r="F54" s="100" t="n"/>
    </row>
    <row r="55" ht="15" customHeight="1" s="52">
      <c r="A55" s="102" t="n"/>
      <c r="B55" s="100" t="n"/>
      <c r="C55" s="100" t="n"/>
      <c r="D55" s="101" t="n"/>
      <c r="E55" s="100" t="n"/>
      <c r="F55" s="100" t="n"/>
    </row>
    <row r="56" ht="15" customHeight="1" s="52">
      <c r="A56" s="102" t="n"/>
      <c r="B56" s="100" t="n"/>
      <c r="C56" s="100" t="n"/>
      <c r="D56" s="101" t="n"/>
      <c r="E56" s="100" t="n"/>
      <c r="F56" s="100" t="n"/>
    </row>
    <row r="57" ht="15" customHeight="1" s="52">
      <c r="A57" s="102" t="n"/>
      <c r="B57" s="100" t="n"/>
      <c r="C57" s="100" t="n"/>
      <c r="D57" s="101" t="n"/>
      <c r="E57" s="100" t="n"/>
      <c r="F57" s="100" t="n"/>
    </row>
    <row r="58" ht="15" customHeight="1" s="52">
      <c r="A58" s="102" t="n"/>
      <c r="B58" s="100" t="n"/>
      <c r="C58" s="100" t="n"/>
      <c r="D58" s="101" t="n"/>
      <c r="E58" s="100" t="n"/>
      <c r="F58" s="100" t="n"/>
    </row>
    <row r="59" ht="15" customHeight="1" s="52">
      <c r="A59" s="102" t="n"/>
      <c r="B59" s="100" t="n"/>
      <c r="C59" s="100" t="n"/>
      <c r="D59" s="101" t="n"/>
      <c r="E59" s="100" t="n"/>
      <c r="F59" s="100" t="n"/>
    </row>
    <row r="60" ht="15" customHeight="1" s="52">
      <c r="A60" s="102" t="n"/>
      <c r="B60" s="100" t="n"/>
      <c r="C60" s="100" t="n"/>
      <c r="D60" s="101" t="n"/>
      <c r="E60" s="100" t="n"/>
      <c r="F60" s="100" t="n"/>
    </row>
    <row r="61" ht="15" customHeight="1" s="52">
      <c r="A61" s="102" t="n"/>
      <c r="B61" s="100" t="n"/>
      <c r="C61" s="100" t="n"/>
      <c r="D61" s="101" t="n"/>
      <c r="E61" s="100" t="n"/>
      <c r="F61" s="100" t="n"/>
    </row>
    <row r="62" ht="15" customHeight="1" s="52">
      <c r="A62" s="102" t="n"/>
      <c r="B62" s="100" t="n"/>
      <c r="C62" s="100" t="n"/>
      <c r="D62" s="101" t="n"/>
      <c r="E62" s="100" t="n"/>
      <c r="F62" s="100" t="n"/>
    </row>
    <row r="63" ht="15" customHeight="1" s="52">
      <c r="A63" s="102" t="n"/>
      <c r="B63" s="100" t="n"/>
      <c r="C63" s="100" t="n"/>
      <c r="D63" s="101" t="n"/>
      <c r="E63" s="100" t="n"/>
      <c r="F63" s="100" t="n"/>
    </row>
    <row r="64" ht="15" customHeight="1" s="52">
      <c r="A64" s="102" t="n"/>
      <c r="B64" s="100" t="n"/>
      <c r="C64" s="100" t="n"/>
      <c r="D64" s="101" t="n"/>
      <c r="E64" s="100" t="n"/>
      <c r="F64" s="100" t="n"/>
    </row>
    <row r="65" ht="15" customHeight="1" s="52">
      <c r="A65" s="102" t="n"/>
      <c r="B65" s="100" t="n"/>
      <c r="C65" s="100" t="n"/>
      <c r="D65" s="101" t="n"/>
      <c r="E65" s="100" t="n"/>
      <c r="F65" s="100" t="n"/>
    </row>
    <row r="66" ht="15" customHeight="1" s="52">
      <c r="A66" s="102" t="n"/>
      <c r="B66" s="100" t="n"/>
      <c r="C66" s="100" t="n"/>
      <c r="D66" s="101" t="n"/>
      <c r="E66" s="100" t="n"/>
      <c r="F66" s="100" t="n"/>
    </row>
    <row r="67" ht="15" customHeight="1" s="52">
      <c r="A67" s="102" t="n"/>
      <c r="B67" s="100" t="n"/>
      <c r="C67" s="100" t="n"/>
      <c r="D67" s="101" t="n"/>
      <c r="E67" s="100" t="n"/>
      <c r="F67" s="100" t="n"/>
    </row>
    <row r="68" ht="15" customHeight="1" s="52">
      <c r="A68" s="102" t="n"/>
      <c r="B68" s="100" t="n"/>
      <c r="C68" s="100" t="n"/>
      <c r="D68" s="101" t="n"/>
      <c r="E68" s="100" t="n"/>
      <c r="F68" s="100" t="n"/>
    </row>
    <row r="69" ht="15" customHeight="1" s="52">
      <c r="A69" s="102" t="n"/>
      <c r="B69" s="100" t="n"/>
      <c r="C69" s="100" t="n"/>
      <c r="D69" s="101" t="n"/>
      <c r="E69" s="100" t="n"/>
      <c r="F69" s="100" t="n"/>
    </row>
    <row r="70" ht="15" customHeight="1" s="52">
      <c r="A70" s="102" t="n"/>
      <c r="B70" s="100" t="n"/>
      <c r="C70" s="100" t="n"/>
      <c r="D70" s="101" t="n"/>
      <c r="E70" s="100" t="n"/>
      <c r="F70" s="100" t="n"/>
    </row>
    <row r="71" ht="15" customHeight="1" s="52">
      <c r="A71" s="102" t="n"/>
      <c r="B71" s="100" t="n"/>
      <c r="C71" s="100" t="n"/>
      <c r="D71" s="101" t="n"/>
      <c r="E71" s="100" t="n"/>
      <c r="F71" s="100" t="n"/>
    </row>
    <row r="72" ht="15" customHeight="1" s="52">
      <c r="A72" s="102" t="n"/>
      <c r="B72" s="100" t="n"/>
      <c r="C72" s="100" t="n"/>
      <c r="D72" s="101" t="n"/>
      <c r="E72" s="100" t="n"/>
      <c r="F72" s="100" t="n"/>
    </row>
    <row r="73" ht="15" customHeight="1" s="52">
      <c r="A73" s="102" t="n"/>
      <c r="B73" s="100" t="n"/>
      <c r="C73" s="100" t="n"/>
      <c r="D73" s="101" t="n"/>
      <c r="E73" s="100" t="n"/>
      <c r="F73" s="100" t="n"/>
    </row>
    <row r="74" ht="15" customHeight="1" s="52">
      <c r="A74" s="102" t="n"/>
      <c r="B74" s="100" t="n"/>
      <c r="C74" s="100" t="n"/>
      <c r="D74" s="101" t="n"/>
      <c r="E74" s="100" t="n"/>
      <c r="F74" s="100" t="n"/>
    </row>
    <row r="75" ht="15" customHeight="1" s="52">
      <c r="A75" s="102" t="n"/>
      <c r="B75" s="100" t="n"/>
      <c r="C75" s="100" t="n"/>
      <c r="D75" s="101" t="n"/>
      <c r="E75" s="100" t="n"/>
      <c r="F75" s="100" t="n"/>
    </row>
    <row r="76" ht="15" customHeight="1" s="52">
      <c r="A76" s="102" t="n"/>
      <c r="B76" s="100" t="n"/>
      <c r="C76" s="100" t="n"/>
      <c r="D76" s="101" t="n"/>
      <c r="E76" s="100" t="n"/>
      <c r="F76" s="100" t="n"/>
    </row>
    <row r="77" ht="15" customHeight="1" s="52">
      <c r="A77" s="102" t="n"/>
      <c r="B77" s="100" t="n"/>
      <c r="C77" s="100" t="n"/>
      <c r="D77" s="101" t="n"/>
      <c r="E77" s="100" t="n"/>
      <c r="F77" s="100" t="n"/>
    </row>
    <row r="78" ht="15" customHeight="1" s="52">
      <c r="A78" s="102" t="n"/>
      <c r="B78" s="100" t="n"/>
      <c r="C78" s="100" t="n"/>
      <c r="D78" s="101" t="n"/>
      <c r="E78" s="100" t="n"/>
      <c r="F78" s="100" t="n"/>
    </row>
    <row r="79" ht="15" customHeight="1" s="52">
      <c r="A79" s="102" t="n"/>
      <c r="B79" s="100" t="n"/>
      <c r="C79" s="100" t="n"/>
      <c r="D79" s="101" t="n"/>
      <c r="E79" s="100" t="n"/>
      <c r="F79" s="100" t="n"/>
    </row>
    <row r="80" ht="15" customHeight="1" s="52">
      <c r="A80" s="102" t="n"/>
      <c r="B80" s="100" t="n"/>
      <c r="C80" s="100" t="n"/>
      <c r="D80" s="101" t="n"/>
      <c r="E80" s="100" t="n"/>
      <c r="F80" s="100" t="n"/>
    </row>
    <row r="81" ht="15" customHeight="1" s="52">
      <c r="A81" s="102" t="n"/>
      <c r="B81" s="100" t="n"/>
      <c r="C81" s="100" t="n"/>
      <c r="D81" s="101" t="n"/>
      <c r="E81" s="100" t="n"/>
      <c r="F81" s="100" t="n"/>
    </row>
    <row r="82" ht="15" customHeight="1" s="52">
      <c r="A82" s="102" t="n"/>
      <c r="B82" s="100" t="n"/>
      <c r="C82" s="100" t="n"/>
      <c r="D82" s="101" t="n"/>
      <c r="E82" s="100" t="n"/>
      <c r="F82" s="100" t="n"/>
    </row>
    <row r="83" ht="15" customHeight="1" s="52">
      <c r="A83" s="102" t="n"/>
      <c r="B83" s="100" t="n"/>
      <c r="C83" s="100" t="n"/>
      <c r="D83" s="101" t="n"/>
      <c r="E83" s="100" t="n"/>
      <c r="F83" s="100" t="n"/>
    </row>
    <row r="84" ht="15" customHeight="1" s="52">
      <c r="A84" s="102" t="n"/>
      <c r="B84" s="100" t="n"/>
      <c r="C84" s="100" t="n"/>
      <c r="D84" s="101" t="n"/>
      <c r="E84" s="100" t="n"/>
      <c r="F84" s="100" t="n"/>
    </row>
    <row r="85" ht="15" customHeight="1" s="52">
      <c r="A85" s="102" t="n"/>
      <c r="B85" s="100" t="n"/>
      <c r="C85" s="100" t="n"/>
      <c r="D85" s="101" t="n"/>
      <c r="E85" s="100" t="n"/>
      <c r="F85" s="100" t="n"/>
    </row>
    <row r="86" ht="15" customHeight="1" s="52">
      <c r="A86" s="102" t="n"/>
      <c r="B86" s="100" t="n"/>
      <c r="C86" s="100" t="n"/>
      <c r="D86" s="101" t="n"/>
      <c r="E86" s="100" t="n"/>
      <c r="F86" s="100" t="n"/>
    </row>
    <row r="87" ht="15" customHeight="1" s="52">
      <c r="A87" s="102" t="n"/>
      <c r="B87" s="100" t="n"/>
      <c r="C87" s="100" t="n"/>
      <c r="D87" s="101" t="n"/>
      <c r="E87" s="100" t="n"/>
      <c r="F87" s="100" t="n"/>
    </row>
    <row r="88" ht="15" customHeight="1" s="52">
      <c r="A88" s="102" t="n"/>
      <c r="B88" s="100" t="n"/>
      <c r="C88" s="100" t="n"/>
      <c r="D88" s="101" t="n"/>
      <c r="E88" s="100" t="n"/>
      <c r="F88" s="100" t="n"/>
    </row>
    <row r="89" ht="15" customHeight="1" s="52">
      <c r="A89" s="102" t="n"/>
      <c r="B89" s="100" t="n"/>
      <c r="C89" s="100" t="n"/>
      <c r="D89" s="101" t="n"/>
      <c r="E89" s="100" t="n"/>
      <c r="F89" s="100" t="n"/>
    </row>
    <row r="90" ht="15" customHeight="1" s="52">
      <c r="A90" s="102" t="n"/>
      <c r="B90" s="100" t="n"/>
      <c r="C90" s="100" t="n"/>
      <c r="D90" s="101" t="n"/>
      <c r="E90" s="100" t="n"/>
      <c r="F90" s="100" t="n"/>
    </row>
    <row r="91" ht="15" customHeight="1" s="52">
      <c r="A91" s="102" t="n"/>
      <c r="B91" s="100" t="n"/>
      <c r="C91" s="100" t="n"/>
      <c r="D91" s="101" t="n"/>
      <c r="E91" s="100" t="n"/>
      <c r="F91" s="100" t="n"/>
    </row>
    <row r="92" ht="15" customHeight="1" s="52">
      <c r="A92" s="102" t="n"/>
      <c r="B92" s="100" t="n"/>
      <c r="C92" s="100" t="n"/>
      <c r="D92" s="101" t="n"/>
      <c r="E92" s="100" t="n"/>
      <c r="F92" s="100" t="n"/>
    </row>
    <row r="93" ht="15" customHeight="1" s="52">
      <c r="A93" s="102" t="n"/>
      <c r="B93" s="100" t="n"/>
      <c r="C93" s="100" t="n"/>
      <c r="D93" s="101" t="n"/>
      <c r="E93" s="100" t="n"/>
      <c r="F93" s="100" t="n"/>
    </row>
    <row r="94" ht="15" customHeight="1" s="52">
      <c r="A94" s="102" t="n"/>
      <c r="B94" s="100" t="n"/>
      <c r="C94" s="100" t="n"/>
      <c r="D94" s="101" t="n"/>
      <c r="E94" s="100" t="n"/>
      <c r="F94" s="100" t="n"/>
    </row>
    <row r="95" ht="15" customHeight="1" s="52">
      <c r="A95" s="102" t="n"/>
      <c r="B95" s="100" t="n"/>
      <c r="C95" s="100" t="n"/>
      <c r="D95" s="101" t="n"/>
      <c r="E95" s="100" t="n"/>
      <c r="F95" s="100" t="n"/>
    </row>
    <row r="96" ht="15" customHeight="1" s="52">
      <c r="A96" s="102" t="n"/>
      <c r="B96" s="100" t="n"/>
      <c r="C96" s="100" t="n"/>
      <c r="D96" s="101" t="n"/>
      <c r="E96" s="100" t="n"/>
      <c r="F96" s="100" t="n"/>
    </row>
    <row r="97" ht="15" customHeight="1" s="52">
      <c r="A97" s="102" t="n"/>
      <c r="B97" s="100" t="n"/>
      <c r="C97" s="100" t="n"/>
      <c r="D97" s="101" t="n"/>
      <c r="E97" s="100" t="n"/>
      <c r="F97" s="100" t="n"/>
    </row>
    <row r="98" ht="15" customHeight="1" s="52">
      <c r="A98" s="102" t="n"/>
      <c r="B98" s="100" t="n"/>
      <c r="C98" s="100" t="n"/>
      <c r="D98" s="101" t="n"/>
      <c r="E98" s="100" t="n"/>
      <c r="F98" s="100" t="n"/>
    </row>
    <row r="99" ht="15" customHeight="1" s="52">
      <c r="A99" s="102" t="n"/>
      <c r="B99" s="100" t="n"/>
      <c r="C99" s="100" t="n"/>
      <c r="D99" s="101" t="n"/>
      <c r="E99" s="100" t="n"/>
      <c r="F99" s="100" t="n"/>
    </row>
    <row r="100" ht="15" customHeight="1" s="52">
      <c r="A100" s="102" t="n"/>
      <c r="B100" s="100" t="n"/>
      <c r="C100" s="100" t="n"/>
      <c r="D100" s="101" t="n"/>
      <c r="E100" s="100" t="n"/>
      <c r="F100" s="100" t="n"/>
    </row>
    <row r="101" ht="15" customHeight="1" s="52">
      <c r="A101" s="102" t="n"/>
      <c r="B101" s="100" t="n"/>
      <c r="C101" s="100" t="n"/>
      <c r="D101" s="101" t="n"/>
      <c r="E101" s="100" t="n"/>
      <c r="F101" s="100" t="n"/>
    </row>
    <row r="102" ht="15" customHeight="1" s="52">
      <c r="A102" s="102" t="n"/>
      <c r="B102" s="100" t="n"/>
      <c r="C102" s="100" t="n"/>
      <c r="D102" s="101" t="n"/>
      <c r="E102" s="100" t="n"/>
      <c r="F102" s="100" t="n"/>
    </row>
    <row r="103" ht="15" customHeight="1" s="52">
      <c r="A103" s="102" t="n"/>
      <c r="B103" s="100" t="n"/>
      <c r="C103" s="100" t="n"/>
      <c r="D103" s="101" t="n"/>
      <c r="E103" s="100" t="n"/>
      <c r="F103" s="100" t="n"/>
    </row>
    <row r="104" ht="15" customHeight="1" s="52">
      <c r="A104" s="102" t="n"/>
      <c r="B104" s="100" t="n"/>
      <c r="C104" s="100" t="n"/>
      <c r="D104" s="101" t="n"/>
      <c r="E104" s="100" t="n"/>
      <c r="F104" s="100" t="n"/>
    </row>
    <row r="105" ht="15" customHeight="1" s="52">
      <c r="A105" s="102" t="n"/>
      <c r="B105" s="100" t="n"/>
      <c r="C105" s="100" t="n"/>
      <c r="D105" s="101" t="n"/>
      <c r="E105" s="100" t="n"/>
      <c r="F105" s="100" t="n"/>
    </row>
    <row r="106" ht="15" customHeight="1" s="52">
      <c r="A106" s="102" t="n"/>
      <c r="B106" s="100" t="n"/>
      <c r="C106" s="100" t="n"/>
      <c r="D106" s="101" t="n"/>
      <c r="E106" s="100" t="n"/>
      <c r="F106" s="100" t="n"/>
    </row>
    <row r="107" ht="15" customHeight="1" s="52">
      <c r="A107" s="102" t="n"/>
      <c r="B107" s="100" t="n"/>
      <c r="C107" s="100" t="n"/>
      <c r="D107" s="101" t="n"/>
      <c r="E107" s="100" t="n"/>
      <c r="F107" s="100" t="n"/>
    </row>
    <row r="108" ht="15" customHeight="1" s="52">
      <c r="A108" s="102" t="n"/>
      <c r="B108" s="100" t="n"/>
      <c r="C108" s="100" t="n"/>
      <c r="D108" s="101" t="n"/>
      <c r="E108" s="100" t="n"/>
      <c r="F108" s="100" t="n"/>
    </row>
    <row r="109" ht="15" customHeight="1" s="52">
      <c r="A109" s="102" t="n"/>
      <c r="B109" s="100" t="n"/>
      <c r="C109" s="100" t="n"/>
      <c r="D109" s="101" t="n"/>
      <c r="E109" s="100" t="n"/>
      <c r="F109" s="100" t="n"/>
    </row>
    <row r="110" ht="15" customHeight="1" s="52">
      <c r="A110" s="102" t="n"/>
      <c r="B110" s="100" t="n"/>
      <c r="C110" s="100" t="n"/>
      <c r="D110" s="101" t="n"/>
      <c r="E110" s="100" t="n"/>
      <c r="F110" s="100" t="n"/>
    </row>
    <row r="111" ht="15" customHeight="1" s="52">
      <c r="A111" s="102" t="n"/>
      <c r="B111" s="100" t="n"/>
      <c r="C111" s="100" t="n"/>
      <c r="D111" s="101" t="n"/>
      <c r="E111" s="100" t="n"/>
      <c r="F111" s="100" t="n"/>
    </row>
    <row r="112" ht="15" customHeight="1" s="52">
      <c r="A112" s="102" t="n"/>
      <c r="B112" s="100" t="n"/>
      <c r="C112" s="100" t="n"/>
      <c r="D112" s="101" t="n"/>
      <c r="E112" s="100" t="n"/>
      <c r="F112" s="100" t="n"/>
    </row>
    <row r="113" ht="15" customHeight="1" s="52">
      <c r="A113" s="102" t="n"/>
      <c r="B113" s="100" t="n"/>
      <c r="C113" s="100" t="n"/>
      <c r="D113" s="101" t="n"/>
      <c r="E113" s="100" t="n"/>
      <c r="F113" s="100" t="n"/>
    </row>
    <row r="114" ht="15" customHeight="1" s="52">
      <c r="A114" s="102" t="n"/>
      <c r="B114" s="100" t="n"/>
      <c r="C114" s="100" t="n"/>
      <c r="D114" s="101" t="n"/>
      <c r="E114" s="100" t="n"/>
      <c r="F114" s="100" t="n"/>
    </row>
    <row r="115" ht="15" customHeight="1" s="52">
      <c r="A115" s="102" t="n"/>
      <c r="B115" s="100" t="n"/>
      <c r="C115" s="100" t="n"/>
      <c r="D115" s="101" t="n"/>
      <c r="E115" s="100" t="n"/>
      <c r="F115" s="100" t="n"/>
    </row>
    <row r="116" ht="15" customHeight="1" s="52">
      <c r="A116" s="102" t="n"/>
      <c r="B116" s="100" t="n"/>
      <c r="C116" s="100" t="n"/>
      <c r="D116" s="101" t="n"/>
      <c r="E116" s="100" t="n"/>
      <c r="F116" s="100" t="n"/>
    </row>
    <row r="117" ht="15" customHeight="1" s="52">
      <c r="A117" s="102" t="n"/>
      <c r="B117" s="100" t="n"/>
      <c r="C117" s="100" t="n"/>
      <c r="D117" s="101" t="n"/>
      <c r="E117" s="100" t="n"/>
      <c r="F117" s="100" t="n"/>
    </row>
    <row r="118" ht="15" customHeight="1" s="52">
      <c r="A118" s="102" t="n"/>
      <c r="B118" s="100" t="n"/>
      <c r="C118" s="100" t="n"/>
      <c r="D118" s="101" t="n"/>
      <c r="E118" s="100" t="n"/>
      <c r="F118" s="100" t="n"/>
    </row>
    <row r="119" ht="15" customHeight="1" s="52">
      <c r="A119" s="102" t="n"/>
      <c r="B119" s="100" t="n"/>
      <c r="C119" s="100" t="n"/>
      <c r="D119" s="101" t="n"/>
      <c r="E119" s="100" t="n"/>
      <c r="F119" s="100" t="n"/>
    </row>
    <row r="120" ht="15" customHeight="1" s="52">
      <c r="A120" s="102" t="n"/>
      <c r="B120" s="100" t="n"/>
      <c r="C120" s="100" t="n"/>
      <c r="D120" s="101" t="n"/>
      <c r="E120" s="100" t="n"/>
      <c r="F120" s="100" t="n"/>
    </row>
    <row r="121" ht="15" customHeight="1" s="52">
      <c r="A121" s="102" t="n"/>
      <c r="B121" s="100" t="n"/>
      <c r="C121" s="100" t="n"/>
      <c r="D121" s="101" t="n"/>
      <c r="E121" s="100" t="n"/>
      <c r="F121" s="100" t="n"/>
    </row>
    <row r="122" ht="15" customHeight="1" s="52">
      <c r="A122" s="102" t="n"/>
      <c r="B122" s="100" t="n"/>
      <c r="C122" s="100" t="n"/>
      <c r="D122" s="101" t="n"/>
      <c r="E122" s="100" t="n"/>
      <c r="F122" s="100" t="n"/>
    </row>
    <row r="123" ht="15" customHeight="1" s="52">
      <c r="A123" s="102" t="n"/>
      <c r="B123" s="100" t="n"/>
      <c r="C123" s="100" t="n"/>
      <c r="D123" s="101" t="n"/>
      <c r="E123" s="100" t="n"/>
      <c r="F123" s="100" t="n"/>
    </row>
    <row r="124" ht="15" customHeight="1" s="52">
      <c r="A124" s="102" t="n"/>
      <c r="B124" s="100" t="n"/>
      <c r="C124" s="100" t="n"/>
      <c r="D124" s="101" t="n"/>
      <c r="E124" s="100" t="n"/>
      <c r="F124" s="100" t="n"/>
    </row>
    <row r="125" ht="15" customHeight="1" s="52">
      <c r="A125" s="102" t="n"/>
      <c r="B125" s="100" t="n"/>
      <c r="C125" s="100" t="n"/>
      <c r="D125" s="101" t="n"/>
      <c r="E125" s="100" t="n"/>
      <c r="F125" s="100" t="n"/>
    </row>
    <row r="126" ht="15" customHeight="1" s="52">
      <c r="A126" s="102" t="n"/>
      <c r="B126" s="100" t="n"/>
      <c r="C126" s="100" t="n"/>
      <c r="D126" s="101" t="n"/>
      <c r="E126" s="100" t="n"/>
      <c r="F126" s="100" t="n"/>
    </row>
    <row r="127" ht="15" customHeight="1" s="52">
      <c r="A127" s="102" t="n"/>
      <c r="B127" s="100" t="n"/>
      <c r="C127" s="100" t="n"/>
      <c r="D127" s="101" t="n"/>
      <c r="E127" s="100" t="n"/>
      <c r="F127" s="100" t="n"/>
    </row>
    <row r="128" ht="15" customHeight="1" s="52">
      <c r="A128" s="102" t="n"/>
      <c r="B128" s="100" t="n"/>
      <c r="C128" s="100" t="n"/>
      <c r="D128" s="101" t="n"/>
      <c r="E128" s="100" t="n"/>
      <c r="F128" s="100" t="n"/>
    </row>
    <row r="129" ht="15" customHeight="1" s="52">
      <c r="A129" s="102" t="n"/>
      <c r="B129" s="100" t="n"/>
      <c r="C129" s="100" t="n"/>
      <c r="D129" s="101" t="n"/>
      <c r="E129" s="100" t="n"/>
      <c r="F129" s="100" t="n"/>
    </row>
    <row r="130" ht="15" customHeight="1" s="52">
      <c r="A130" s="102" t="n"/>
      <c r="B130" s="100" t="n"/>
      <c r="C130" s="100" t="n"/>
      <c r="D130" s="101" t="n"/>
      <c r="E130" s="100" t="n"/>
      <c r="F130" s="100" t="n"/>
    </row>
    <row r="131" ht="15" customHeight="1" s="52">
      <c r="A131" s="102" t="n"/>
      <c r="B131" s="100" t="n"/>
      <c r="C131" s="100" t="n"/>
      <c r="D131" s="101" t="n"/>
      <c r="E131" s="100" t="n"/>
      <c r="F131" s="100" t="n"/>
    </row>
    <row r="132" ht="15" customHeight="1" s="52">
      <c r="A132" s="102" t="n"/>
      <c r="B132" s="100" t="n"/>
      <c r="C132" s="100" t="n"/>
      <c r="D132" s="101" t="n"/>
      <c r="E132" s="100" t="n"/>
      <c r="F132" s="100" t="n"/>
    </row>
    <row r="133" ht="15" customHeight="1" s="52">
      <c r="A133" s="102" t="n"/>
      <c r="B133" s="100" t="n"/>
      <c r="C133" s="100" t="n"/>
      <c r="D133" s="101" t="n"/>
      <c r="E133" s="100" t="n"/>
      <c r="F133" s="100" t="n"/>
    </row>
    <row r="134" ht="15" customHeight="1" s="52">
      <c r="A134" s="102" t="n"/>
      <c r="B134" s="100" t="n"/>
      <c r="C134" s="100" t="n"/>
      <c r="D134" s="101" t="n"/>
      <c r="E134" s="100" t="n"/>
      <c r="F134" s="100" t="n"/>
    </row>
    <row r="135" ht="15" customHeight="1" s="52">
      <c r="A135" s="102" t="n"/>
      <c r="B135" s="100" t="n"/>
      <c r="C135" s="100" t="n"/>
      <c r="D135" s="101" t="n"/>
      <c r="E135" s="100" t="n"/>
      <c r="F135" s="100" t="n"/>
    </row>
    <row r="136" ht="15" customHeight="1" s="52">
      <c r="A136" s="102" t="n"/>
      <c r="B136" s="100" t="n"/>
      <c r="C136" s="100" t="n"/>
      <c r="D136" s="101" t="n"/>
      <c r="E136" s="100" t="n"/>
      <c r="F136" s="100" t="n"/>
    </row>
    <row r="137" ht="15" customHeight="1" s="52">
      <c r="A137" s="102" t="n"/>
      <c r="B137" s="100" t="n"/>
      <c r="C137" s="100" t="n"/>
      <c r="D137" s="101" t="n"/>
      <c r="E137" s="100" t="n"/>
      <c r="F137" s="100" t="n"/>
    </row>
    <row r="138" ht="15" customHeight="1" s="52">
      <c r="A138" s="102" t="n"/>
      <c r="B138" s="100" t="n"/>
      <c r="C138" s="100" t="n"/>
      <c r="D138" s="101" t="n"/>
      <c r="E138" s="100" t="n"/>
      <c r="F138" s="100" t="n"/>
    </row>
    <row r="139" ht="15" customHeight="1" s="52">
      <c r="A139" s="102" t="n"/>
      <c r="B139" s="100" t="n"/>
      <c r="C139" s="100" t="n"/>
      <c r="D139" s="101" t="n"/>
      <c r="E139" s="100" t="n"/>
      <c r="F139" s="100" t="n"/>
    </row>
    <row r="140" ht="15" customHeight="1" s="52">
      <c r="A140" s="102" t="n"/>
      <c r="B140" s="100" t="n"/>
      <c r="C140" s="100" t="n"/>
      <c r="D140" s="101" t="n"/>
      <c r="E140" s="100" t="n"/>
      <c r="F140" s="100" t="n"/>
    </row>
    <row r="141" ht="15" customHeight="1" s="52">
      <c r="A141" s="102" t="n"/>
      <c r="B141" s="100" t="n"/>
      <c r="C141" s="100" t="n"/>
      <c r="D141" s="101" t="n"/>
      <c r="E141" s="100" t="n"/>
      <c r="F141" s="100" t="n"/>
    </row>
    <row r="142" ht="15" customHeight="1" s="52">
      <c r="A142" s="102" t="n"/>
      <c r="B142" s="100" t="n"/>
      <c r="C142" s="100" t="n"/>
      <c r="D142" s="101" t="n"/>
      <c r="E142" s="100" t="n"/>
      <c r="F142" s="100" t="n"/>
    </row>
    <row r="143" ht="15" customHeight="1" s="52">
      <c r="A143" s="102" t="n"/>
      <c r="B143" s="100" t="n"/>
      <c r="C143" s="100" t="n"/>
      <c r="D143" s="101" t="n"/>
      <c r="E143" s="100" t="n"/>
      <c r="F143" s="100" t="n"/>
    </row>
    <row r="144" ht="15" customHeight="1" s="52">
      <c r="A144" s="102" t="n"/>
      <c r="B144" s="100" t="n"/>
      <c r="C144" s="100" t="n"/>
      <c r="D144" s="101" t="n"/>
      <c r="E144" s="100" t="n"/>
      <c r="F144" s="100" t="n"/>
    </row>
    <row r="145" ht="15" customHeight="1" s="52">
      <c r="A145" s="102" t="n"/>
      <c r="B145" s="100" t="n"/>
      <c r="C145" s="100" t="n"/>
      <c r="D145" s="101" t="n"/>
      <c r="E145" s="100" t="n"/>
      <c r="F145" s="100" t="n"/>
    </row>
    <row r="146" ht="15" customHeight="1" s="52">
      <c r="A146" s="102" t="n"/>
      <c r="B146" s="100" t="n"/>
      <c r="C146" s="100" t="n"/>
      <c r="D146" s="101" t="n"/>
      <c r="E146" s="100" t="n"/>
      <c r="F146" s="100" t="n"/>
    </row>
    <row r="147" ht="15" customHeight="1" s="52">
      <c r="A147" s="102" t="n"/>
      <c r="B147" s="100" t="n"/>
      <c r="C147" s="100" t="n"/>
      <c r="D147" s="101" t="n"/>
      <c r="E147" s="100" t="n"/>
      <c r="F147" s="100" t="n"/>
    </row>
    <row r="148" ht="15" customHeight="1" s="52">
      <c r="A148" s="102" t="n"/>
      <c r="B148" s="100" t="n"/>
      <c r="C148" s="100" t="n"/>
      <c r="D148" s="101" t="n"/>
      <c r="E148" s="100" t="n"/>
      <c r="F148" s="100" t="n"/>
    </row>
    <row r="149" ht="15" customHeight="1" s="52">
      <c r="A149" s="102" t="n"/>
      <c r="B149" s="100" t="n"/>
      <c r="C149" s="100" t="n"/>
      <c r="D149" s="101" t="n"/>
      <c r="E149" s="100" t="n"/>
      <c r="F149" s="100" t="n"/>
    </row>
    <row r="150" ht="15" customHeight="1" s="52">
      <c r="A150" s="102" t="n"/>
      <c r="B150" s="100" t="n"/>
      <c r="C150" s="100" t="n"/>
      <c r="D150" s="101" t="n"/>
      <c r="E150" s="100" t="n"/>
      <c r="F150" s="100" t="n"/>
    </row>
    <row r="151" ht="15" customHeight="1" s="52">
      <c r="A151" s="102" t="n"/>
      <c r="B151" s="100" t="n"/>
      <c r="C151" s="100" t="n"/>
      <c r="D151" s="101" t="n"/>
      <c r="E151" s="100" t="n"/>
      <c r="F151" s="100" t="n"/>
    </row>
    <row r="152" ht="15" customHeight="1" s="52">
      <c r="A152" s="102" t="n"/>
      <c r="B152" s="100" t="n"/>
      <c r="C152" s="100" t="n"/>
      <c r="D152" s="101" t="n"/>
      <c r="E152" s="100" t="n"/>
      <c r="F152" s="100" t="n"/>
    </row>
    <row r="153" ht="15" customHeight="1" s="52">
      <c r="A153" s="102" t="n"/>
      <c r="B153" s="100" t="n"/>
      <c r="C153" s="100" t="n"/>
      <c r="D153" s="101" t="n"/>
      <c r="E153" s="100" t="n"/>
      <c r="F153" s="100" t="n"/>
    </row>
    <row r="154" ht="15" customHeight="1" s="52">
      <c r="A154" s="102" t="n"/>
      <c r="B154" s="100" t="n"/>
      <c r="C154" s="100" t="n"/>
      <c r="D154" s="101" t="n"/>
      <c r="E154" s="100" t="n"/>
      <c r="F154" s="100" t="n"/>
    </row>
    <row r="155" ht="15" customHeight="1" s="52">
      <c r="A155" s="102" t="n"/>
      <c r="B155" s="100" t="n"/>
      <c r="C155" s="100" t="n"/>
      <c r="D155" s="101" t="n"/>
      <c r="E155" s="100" t="n"/>
      <c r="F155" s="100" t="n"/>
    </row>
    <row r="156" ht="15" customHeight="1" s="52">
      <c r="A156" s="102" t="n"/>
      <c r="B156" s="100" t="n"/>
      <c r="C156" s="100" t="n"/>
      <c r="D156" s="101" t="n"/>
      <c r="E156" s="100" t="n"/>
      <c r="F156" s="100" t="n"/>
    </row>
    <row r="157" ht="15" customHeight="1" s="52">
      <c r="A157" s="102" t="n"/>
      <c r="B157" s="100" t="n"/>
      <c r="C157" s="100" t="n"/>
      <c r="D157" s="101" t="n"/>
      <c r="E157" s="100" t="n"/>
      <c r="F157" s="100" t="n"/>
    </row>
    <row r="158" ht="15" customHeight="1" s="52">
      <c r="A158" s="102" t="n"/>
      <c r="B158" s="100" t="n"/>
      <c r="C158" s="100" t="n"/>
      <c r="D158" s="101" t="n"/>
      <c r="E158" s="100" t="n"/>
      <c r="F158" s="100" t="n"/>
    </row>
    <row r="159" ht="15" customHeight="1" s="52">
      <c r="A159" s="102" t="n"/>
      <c r="B159" s="100" t="n"/>
      <c r="C159" s="100" t="n"/>
      <c r="D159" s="101" t="n"/>
      <c r="E159" s="100" t="n"/>
      <c r="F159" s="100" t="n"/>
    </row>
    <row r="160" ht="15" customHeight="1" s="52">
      <c r="A160" s="102" t="n"/>
      <c r="B160" s="100" t="n"/>
      <c r="C160" s="100" t="n"/>
      <c r="D160" s="101" t="n"/>
      <c r="E160" s="100" t="n"/>
      <c r="F160" s="100" t="n"/>
    </row>
    <row r="161" ht="15" customHeight="1" s="52">
      <c r="A161" s="102" t="n"/>
      <c r="B161" s="100" t="n"/>
      <c r="C161" s="100" t="n"/>
      <c r="D161" s="101" t="n"/>
      <c r="E161" s="100" t="n"/>
      <c r="F161" s="100" t="n"/>
    </row>
    <row r="162" ht="15" customHeight="1" s="52">
      <c r="A162" s="102" t="n"/>
      <c r="B162" s="100" t="n"/>
      <c r="C162" s="100" t="n"/>
      <c r="D162" s="101" t="n"/>
      <c r="E162" s="100" t="n"/>
      <c r="F162" s="100" t="n"/>
    </row>
    <row r="163" ht="15" customHeight="1" s="52">
      <c r="A163" s="102" t="n"/>
      <c r="B163" s="100" t="n"/>
      <c r="C163" s="100" t="n"/>
      <c r="D163" s="101" t="n"/>
      <c r="E163" s="100" t="n"/>
      <c r="F163" s="100" t="n"/>
    </row>
    <row r="164" ht="15" customHeight="1" s="52">
      <c r="A164" s="102" t="n"/>
      <c r="B164" s="100" t="n"/>
      <c r="C164" s="100" t="n"/>
      <c r="D164" s="101" t="n"/>
      <c r="E164" s="100" t="n"/>
      <c r="F164" s="100" t="n"/>
    </row>
    <row r="165" ht="15" customHeight="1" s="52">
      <c r="A165" s="102" t="n"/>
      <c r="B165" s="100" t="n"/>
      <c r="C165" s="100" t="n"/>
      <c r="D165" s="101" t="n"/>
      <c r="E165" s="100" t="n"/>
      <c r="F165" s="100" t="n"/>
    </row>
    <row r="166" ht="15" customHeight="1" s="52">
      <c r="A166" s="102" t="n"/>
      <c r="B166" s="100" t="n"/>
      <c r="C166" s="100" t="n"/>
      <c r="D166" s="101" t="n"/>
      <c r="E166" s="100" t="n"/>
      <c r="F166" s="100" t="n"/>
    </row>
    <row r="167" ht="15" customHeight="1" s="52">
      <c r="A167" s="102" t="n"/>
      <c r="B167" s="100" t="n"/>
      <c r="C167" s="100" t="n"/>
      <c r="D167" s="101" t="n"/>
      <c r="E167" s="100" t="n"/>
      <c r="F167" s="100" t="n"/>
    </row>
    <row r="168" ht="15" customHeight="1" s="52">
      <c r="A168" s="102" t="n"/>
      <c r="B168" s="100" t="n"/>
      <c r="C168" s="100" t="n"/>
      <c r="D168" s="101" t="n"/>
      <c r="E168" s="100" t="n"/>
      <c r="F168" s="100" t="n"/>
    </row>
    <row r="169" ht="15" customHeight="1" s="52">
      <c r="A169" s="102" t="n"/>
      <c r="B169" s="100" t="n"/>
      <c r="C169" s="100" t="n"/>
      <c r="D169" s="101" t="n"/>
      <c r="E169" s="100" t="n"/>
      <c r="F169" s="100" t="n"/>
    </row>
    <row r="170" ht="15" customHeight="1" s="52">
      <c r="A170" s="102" t="n"/>
      <c r="B170" s="100" t="n"/>
      <c r="C170" s="100" t="n"/>
      <c r="D170" s="101" t="n"/>
      <c r="E170" s="100" t="n"/>
      <c r="F170" s="100" t="n"/>
    </row>
    <row r="171" ht="15" customHeight="1" s="52">
      <c r="A171" s="102" t="n"/>
      <c r="B171" s="100" t="n"/>
      <c r="C171" s="100" t="n"/>
      <c r="D171" s="101" t="n"/>
      <c r="E171" s="100" t="n"/>
      <c r="F171" s="100" t="n"/>
    </row>
    <row r="172" ht="15" customHeight="1" s="52">
      <c r="A172" s="102" t="n"/>
      <c r="B172" s="100" t="n"/>
      <c r="C172" s="100" t="n"/>
      <c r="D172" s="101" t="n"/>
      <c r="E172" s="100" t="n"/>
      <c r="F172" s="100" t="n"/>
    </row>
    <row r="173" ht="15" customHeight="1" s="52">
      <c r="A173" s="102" t="n"/>
      <c r="B173" s="100" t="n"/>
      <c r="C173" s="100" t="n"/>
      <c r="D173" s="101" t="n"/>
      <c r="E173" s="100" t="n"/>
      <c r="F173" s="100" t="n"/>
    </row>
    <row r="174" ht="15" customHeight="1" s="52">
      <c r="A174" s="102" t="n"/>
      <c r="B174" s="100" t="n"/>
      <c r="C174" s="100" t="n"/>
      <c r="D174" s="101" t="n"/>
      <c r="E174" s="100" t="n"/>
      <c r="F174" s="100" t="n"/>
    </row>
    <row r="175" ht="15" customHeight="1" s="52">
      <c r="A175" s="102" t="n"/>
      <c r="B175" s="100" t="n"/>
      <c r="C175" s="100" t="n"/>
      <c r="D175" s="101" t="n"/>
      <c r="E175" s="100" t="n"/>
      <c r="F175" s="100" t="n"/>
    </row>
    <row r="176" ht="15" customHeight="1" s="52">
      <c r="A176" s="102" t="n"/>
      <c r="B176" s="100" t="n"/>
      <c r="C176" s="100" t="n"/>
      <c r="D176" s="101" t="n"/>
      <c r="E176" s="100" t="n"/>
      <c r="F176" s="100" t="n"/>
    </row>
    <row r="177" ht="15" customHeight="1" s="52">
      <c r="A177" s="102" t="n"/>
      <c r="B177" s="100" t="n"/>
      <c r="C177" s="100" t="n"/>
      <c r="D177" s="101" t="n"/>
      <c r="E177" s="100" t="n"/>
      <c r="F177" s="100" t="n"/>
    </row>
    <row r="178" ht="15" customHeight="1" s="52">
      <c r="A178" s="102" t="n"/>
      <c r="B178" s="100" t="n"/>
      <c r="C178" s="100" t="n"/>
      <c r="D178" s="101" t="n"/>
      <c r="E178" s="100" t="n"/>
      <c r="F178" s="100" t="n"/>
    </row>
    <row r="179" ht="15" customHeight="1" s="52">
      <c r="A179" s="102" t="n"/>
      <c r="B179" s="100" t="n"/>
      <c r="C179" s="100" t="n"/>
      <c r="D179" s="101" t="n"/>
      <c r="E179" s="100" t="n"/>
      <c r="F179" s="100" t="n"/>
    </row>
    <row r="180" ht="15" customHeight="1" s="52">
      <c r="A180" s="102" t="n"/>
      <c r="B180" s="100" t="n"/>
      <c r="C180" s="100" t="n"/>
      <c r="D180" s="101" t="n"/>
      <c r="E180" s="100" t="n"/>
      <c r="F180" s="100" t="n"/>
    </row>
    <row r="181" ht="15" customHeight="1" s="52">
      <c r="A181" s="102" t="n"/>
      <c r="B181" s="100" t="n"/>
      <c r="C181" s="100" t="n"/>
      <c r="D181" s="101" t="n"/>
      <c r="E181" s="100" t="n"/>
      <c r="F181" s="100" t="n"/>
    </row>
    <row r="182" ht="15" customHeight="1" s="52">
      <c r="A182" s="102" t="n"/>
      <c r="B182" s="100" t="n"/>
      <c r="C182" s="100" t="n"/>
      <c r="D182" s="101" t="n"/>
      <c r="E182" s="100" t="n"/>
      <c r="F182" s="100" t="n"/>
    </row>
    <row r="183" ht="15" customHeight="1" s="52">
      <c r="A183" s="102" t="n"/>
      <c r="B183" s="100" t="n"/>
      <c r="C183" s="100" t="n"/>
      <c r="D183" s="101" t="n"/>
      <c r="E183" s="100" t="n"/>
      <c r="F183" s="100" t="n"/>
    </row>
    <row r="184" ht="15" customHeight="1" s="52">
      <c r="A184" s="102" t="n"/>
      <c r="B184" s="100" t="n"/>
      <c r="C184" s="100" t="n"/>
      <c r="D184" s="101" t="n"/>
      <c r="E184" s="100" t="n"/>
      <c r="F184" s="100" t="n"/>
    </row>
    <row r="185" ht="15" customHeight="1" s="52">
      <c r="A185" s="102" t="n"/>
      <c r="B185" s="100" t="n"/>
      <c r="C185" s="100" t="n"/>
      <c r="D185" s="101" t="n"/>
      <c r="E185" s="100" t="n"/>
      <c r="F185" s="100" t="n"/>
    </row>
    <row r="186" ht="15" customHeight="1" s="52">
      <c r="A186" s="102" t="n"/>
      <c r="B186" s="100" t="n"/>
      <c r="C186" s="100" t="n"/>
      <c r="D186" s="101" t="n"/>
      <c r="E186" s="100" t="n"/>
      <c r="F186" s="100" t="n"/>
    </row>
    <row r="187" ht="15" customHeight="1" s="52">
      <c r="A187" s="102" t="n"/>
      <c r="B187" s="100" t="n"/>
      <c r="C187" s="100" t="n"/>
      <c r="D187" s="101" t="n"/>
      <c r="E187" s="100" t="n"/>
      <c r="F187" s="100" t="n"/>
    </row>
    <row r="188" ht="15" customHeight="1" s="52">
      <c r="A188" s="102" t="n"/>
      <c r="B188" s="100" t="n"/>
      <c r="C188" s="100" t="n"/>
      <c r="D188" s="101" t="n"/>
      <c r="E188" s="100" t="n"/>
      <c r="F188" s="100" t="n"/>
    </row>
    <row r="189" ht="15" customHeight="1" s="52">
      <c r="A189" s="102" t="n"/>
      <c r="B189" s="100" t="n"/>
      <c r="C189" s="100" t="n"/>
      <c r="D189" s="101" t="n"/>
      <c r="E189" s="100" t="n"/>
      <c r="F189" s="100" t="n"/>
    </row>
    <row r="190" ht="15" customHeight="1" s="52">
      <c r="A190" s="102" t="n"/>
      <c r="B190" s="100" t="n"/>
      <c r="C190" s="100" t="n"/>
      <c r="D190" s="101" t="n"/>
      <c r="E190" s="100" t="n"/>
      <c r="F190" s="100" t="n"/>
    </row>
    <row r="191" ht="15" customHeight="1" s="52">
      <c r="A191" s="102" t="n"/>
      <c r="B191" s="100" t="n"/>
      <c r="C191" s="100" t="n"/>
      <c r="D191" s="101" t="n"/>
      <c r="E191" s="100" t="n"/>
      <c r="F191" s="100" t="n"/>
    </row>
    <row r="192" ht="15" customHeight="1" s="52">
      <c r="A192" s="102" t="n"/>
      <c r="B192" s="100" t="n"/>
      <c r="C192" s="100" t="n"/>
      <c r="D192" s="101" t="n"/>
      <c r="E192" s="100" t="n"/>
      <c r="F192" s="100" t="n"/>
    </row>
    <row r="193" ht="15" customHeight="1" s="52">
      <c r="A193" s="102" t="n"/>
      <c r="B193" s="100" t="n"/>
      <c r="C193" s="100" t="n"/>
      <c r="D193" s="101" t="n"/>
      <c r="E193" s="100" t="n"/>
      <c r="F193" s="100" t="n"/>
    </row>
    <row r="194" ht="15" customHeight="1" s="52">
      <c r="A194" s="102" t="n"/>
      <c r="B194" s="100" t="n"/>
      <c r="C194" s="100" t="n"/>
      <c r="D194" s="101" t="n"/>
      <c r="E194" s="100" t="n"/>
      <c r="F194" s="100" t="n"/>
    </row>
    <row r="195" ht="15" customHeight="1" s="52">
      <c r="A195" s="102" t="n"/>
      <c r="B195" s="100" t="n"/>
      <c r="C195" s="100" t="n"/>
      <c r="D195" s="101" t="n"/>
      <c r="E195" s="100" t="n"/>
      <c r="F195" s="100" t="n"/>
    </row>
    <row r="196" ht="15" customHeight="1" s="52">
      <c r="A196" s="102" t="n"/>
      <c r="B196" s="100" t="n"/>
      <c r="C196" s="100" t="n"/>
      <c r="D196" s="101" t="n"/>
      <c r="E196" s="100" t="n"/>
      <c r="F196" s="100" t="n"/>
    </row>
    <row r="197" ht="15" customHeight="1" s="52">
      <c r="A197" s="102" t="n"/>
      <c r="B197" s="100" t="n"/>
      <c r="C197" s="100" t="n"/>
      <c r="D197" s="101" t="n"/>
      <c r="E197" s="100" t="n"/>
      <c r="F197" s="100" t="n"/>
    </row>
    <row r="198" ht="15" customHeight="1" s="52">
      <c r="A198" s="102" t="n"/>
      <c r="B198" s="100" t="n"/>
      <c r="C198" s="100" t="n"/>
      <c r="D198" s="101" t="n"/>
      <c r="E198" s="100" t="n"/>
      <c r="F198" s="100" t="n"/>
    </row>
    <row r="199" ht="15" customHeight="1" s="52">
      <c r="A199" s="102" t="n"/>
      <c r="B199" s="100" t="n"/>
      <c r="C199" s="100" t="n"/>
      <c r="D199" s="101" t="n"/>
      <c r="E199" s="100" t="n"/>
      <c r="F199" s="100" t="n"/>
    </row>
    <row r="200" ht="15" customHeight="1" s="52">
      <c r="A200" s="102" t="n"/>
      <c r="B200" s="100" t="n"/>
      <c r="C200" s="100" t="n"/>
      <c r="D200" s="101" t="n"/>
      <c r="E200" s="100" t="n"/>
      <c r="F200" s="100" t="n"/>
    </row>
    <row r="201" ht="15" customHeight="1" s="52">
      <c r="A201" s="102" t="n"/>
      <c r="B201" s="100" t="n"/>
      <c r="C201" s="100" t="n"/>
      <c r="D201" s="101" t="n"/>
      <c r="E201" s="100" t="n"/>
      <c r="F201" s="100" t="n"/>
    </row>
    <row r="202" ht="15" customHeight="1" s="52">
      <c r="A202" s="102" t="n"/>
      <c r="B202" s="100" t="n"/>
      <c r="C202" s="100" t="n"/>
      <c r="D202" s="101" t="n"/>
      <c r="E202" s="100" t="n"/>
      <c r="F202" s="100" t="n"/>
    </row>
    <row r="203" ht="15" customHeight="1" s="52">
      <c r="A203" s="102" t="n"/>
      <c r="B203" s="100" t="n"/>
      <c r="C203" s="100" t="n"/>
      <c r="D203" s="101" t="n"/>
      <c r="E203" s="100" t="n"/>
      <c r="F203" s="100" t="n"/>
    </row>
    <row r="204" ht="15" customHeight="1" s="52">
      <c r="A204" s="102" t="n"/>
      <c r="B204" s="100" t="n"/>
      <c r="C204" s="100" t="n"/>
      <c r="D204" s="101" t="n"/>
      <c r="E204" s="100" t="n"/>
      <c r="F204" s="100" t="n"/>
    </row>
    <row r="205" ht="15" customHeight="1" s="52">
      <c r="A205" s="102" t="n"/>
      <c r="B205" s="100" t="n"/>
      <c r="C205" s="100" t="n"/>
      <c r="D205" s="101" t="n"/>
      <c r="E205" s="100" t="n"/>
      <c r="F205" s="100" t="n"/>
    </row>
    <row r="206" ht="15" customHeight="1" s="52">
      <c r="A206" s="102" t="n"/>
      <c r="B206" s="100" t="n"/>
      <c r="C206" s="100" t="n"/>
      <c r="D206" s="101" t="n"/>
      <c r="E206" s="100" t="n"/>
      <c r="F206" s="100" t="n"/>
    </row>
    <row r="207" ht="15" customHeight="1" s="52">
      <c r="A207" s="102" t="n"/>
      <c r="B207" s="100" t="n"/>
      <c r="C207" s="100" t="n"/>
      <c r="D207" s="101" t="n"/>
      <c r="E207" s="100" t="n"/>
      <c r="F207" s="100" t="n"/>
    </row>
    <row r="208" ht="15" customHeight="1" s="52">
      <c r="A208" s="102" t="n"/>
      <c r="B208" s="100" t="n"/>
      <c r="C208" s="100" t="n"/>
      <c r="D208" s="101" t="n"/>
      <c r="E208" s="100" t="n"/>
      <c r="F208" s="100" t="n"/>
    </row>
    <row r="209" ht="15" customHeight="1" s="52">
      <c r="A209" s="102" t="n"/>
      <c r="B209" s="100" t="n"/>
      <c r="C209" s="100" t="n"/>
      <c r="D209" s="101" t="n"/>
      <c r="E209" s="100" t="n"/>
      <c r="F209" s="100" t="n"/>
    </row>
    <row r="210" ht="15" customHeight="1" s="52">
      <c r="A210" s="102" t="n"/>
      <c r="B210" s="100" t="n"/>
      <c r="C210" s="100" t="n"/>
      <c r="D210" s="101" t="n"/>
      <c r="E210" s="100" t="n"/>
      <c r="F210" s="100" t="n"/>
    </row>
    <row r="211" ht="15" customHeight="1" s="52">
      <c r="A211" s="102" t="n"/>
      <c r="B211" s="100" t="n"/>
      <c r="C211" s="100" t="n"/>
      <c r="D211" s="101" t="n"/>
      <c r="E211" s="100" t="n"/>
      <c r="F211" s="100" t="n"/>
    </row>
    <row r="212" ht="15" customHeight="1" s="52">
      <c r="A212" s="102" t="n"/>
      <c r="B212" s="100" t="n"/>
      <c r="C212" s="100" t="n"/>
      <c r="D212" s="101" t="n"/>
      <c r="E212" s="100" t="n"/>
      <c r="F212" s="100" t="n"/>
    </row>
    <row r="213" ht="15" customHeight="1" s="52">
      <c r="A213" s="102" t="n"/>
      <c r="B213" s="100" t="n"/>
      <c r="C213" s="100" t="n"/>
      <c r="D213" s="101" t="n"/>
      <c r="E213" s="100" t="n"/>
      <c r="F213" s="100" t="n"/>
    </row>
    <row r="214" ht="15" customHeight="1" s="52">
      <c r="A214" s="102" t="n"/>
      <c r="B214" s="100" t="n"/>
      <c r="C214" s="100" t="n"/>
      <c r="D214" s="101" t="n"/>
      <c r="E214" s="100" t="n"/>
      <c r="F214" s="100" t="n"/>
    </row>
    <row r="215" ht="15" customHeight="1" s="52">
      <c r="A215" s="102" t="n"/>
      <c r="B215" s="100" t="n"/>
      <c r="C215" s="100" t="n"/>
      <c r="D215" s="101" t="n"/>
      <c r="E215" s="100" t="n"/>
      <c r="F215" s="100" t="n"/>
    </row>
    <row r="216" ht="15" customHeight="1" s="52">
      <c r="A216" s="102" t="n"/>
      <c r="B216" s="100" t="n"/>
      <c r="C216" s="100" t="n"/>
      <c r="D216" s="101" t="n"/>
      <c r="E216" s="100" t="n"/>
      <c r="F216" s="100" t="n"/>
    </row>
    <row r="217" ht="15" customHeight="1" s="52">
      <c r="A217" s="102" t="n"/>
      <c r="B217" s="100" t="n"/>
      <c r="C217" s="100" t="n"/>
      <c r="D217" s="101" t="n"/>
      <c r="E217" s="100" t="n"/>
      <c r="F217" s="100" t="n"/>
    </row>
    <row r="218" ht="15" customHeight="1" s="52">
      <c r="A218" s="102" t="n"/>
      <c r="B218" s="100" t="n"/>
      <c r="C218" s="100" t="n"/>
      <c r="D218" s="101" t="n"/>
      <c r="E218" s="100" t="n"/>
      <c r="F218" s="100" t="n"/>
    </row>
    <row r="219" ht="15" customHeight="1" s="52">
      <c r="A219" s="102" t="n"/>
      <c r="B219" s="100" t="n"/>
      <c r="C219" s="100" t="n"/>
      <c r="D219" s="101" t="n"/>
      <c r="E219" s="100" t="n"/>
      <c r="F219" s="100" t="n"/>
    </row>
    <row r="220" ht="15" customHeight="1" s="52">
      <c r="A220" s="102" t="n"/>
      <c r="B220" s="100" t="n"/>
      <c r="C220" s="100" t="n"/>
      <c r="D220" s="101" t="n"/>
      <c r="E220" s="100" t="n"/>
      <c r="F220" s="100" t="n"/>
    </row>
    <row r="221" ht="15" customHeight="1" s="52">
      <c r="A221" s="102" t="n"/>
      <c r="B221" s="100" t="n"/>
      <c r="C221" s="100" t="n"/>
      <c r="D221" s="101" t="n"/>
      <c r="E221" s="100" t="n"/>
      <c r="F221" s="100" t="n"/>
    </row>
    <row r="222" ht="15" customHeight="1" s="52">
      <c r="A222" s="102" t="n"/>
      <c r="B222" s="100" t="n"/>
      <c r="C222" s="100" t="n"/>
      <c r="D222" s="101" t="n"/>
      <c r="E222" s="100" t="n"/>
      <c r="F222" s="100" t="n"/>
    </row>
    <row r="223" ht="15" customHeight="1" s="52">
      <c r="A223" s="102" t="n"/>
      <c r="B223" s="100" t="n"/>
      <c r="C223" s="100" t="n"/>
      <c r="D223" s="101" t="n"/>
      <c r="E223" s="100" t="n"/>
      <c r="F223" s="100" t="n"/>
    </row>
    <row r="224" ht="15" customHeight="1" s="52">
      <c r="A224" s="102" t="n"/>
      <c r="B224" s="100" t="n"/>
      <c r="C224" s="100" t="n"/>
      <c r="D224" s="101" t="n"/>
      <c r="E224" s="100" t="n"/>
      <c r="F224" s="100" t="n"/>
    </row>
    <row r="225" ht="15" customHeight="1" s="52">
      <c r="A225" s="102" t="n"/>
      <c r="B225" s="100" t="n"/>
      <c r="C225" s="100" t="n"/>
      <c r="D225" s="101" t="n"/>
      <c r="E225" s="100" t="n"/>
      <c r="F225" s="100" t="n"/>
    </row>
    <row r="226" ht="15" customHeight="1" s="52">
      <c r="A226" s="102" t="n"/>
      <c r="B226" s="100" t="n"/>
      <c r="C226" s="100" t="n"/>
      <c r="D226" s="101" t="n"/>
      <c r="E226" s="100" t="n"/>
      <c r="F226" s="100" t="n"/>
    </row>
    <row r="227" ht="15" customHeight="1" s="52">
      <c r="A227" s="102" t="n"/>
      <c r="B227" s="100" t="n"/>
      <c r="C227" s="100" t="n"/>
      <c r="D227" s="101" t="n"/>
      <c r="E227" s="100" t="n"/>
      <c r="F227" s="100" t="n"/>
    </row>
    <row r="228" ht="15" customHeight="1" s="52">
      <c r="A228" s="102" t="n"/>
      <c r="B228" s="100" t="n"/>
      <c r="C228" s="100" t="n"/>
      <c r="D228" s="101" t="n"/>
      <c r="E228" s="100" t="n"/>
      <c r="F228" s="100" t="n"/>
    </row>
    <row r="229" ht="15" customHeight="1" s="52">
      <c r="A229" s="102" t="n"/>
      <c r="B229" s="100" t="n"/>
      <c r="C229" s="100" t="n"/>
      <c r="D229" s="101" t="n"/>
      <c r="E229" s="100" t="n"/>
      <c r="F229" s="100" t="n"/>
    </row>
    <row r="230" ht="15" customHeight="1" s="52">
      <c r="A230" s="102" t="n"/>
      <c r="B230" s="100" t="n"/>
      <c r="C230" s="100" t="n"/>
      <c r="D230" s="101" t="n"/>
      <c r="E230" s="100" t="n"/>
      <c r="F230" s="100" t="n"/>
    </row>
    <row r="231" ht="15" customHeight="1" s="52">
      <c r="A231" s="102" t="n"/>
      <c r="B231" s="100" t="n"/>
      <c r="C231" s="100" t="n"/>
      <c r="D231" s="101" t="n"/>
      <c r="E231" s="100" t="n"/>
      <c r="F231" s="100" t="n"/>
    </row>
    <row r="232" ht="15" customHeight="1" s="52">
      <c r="A232" s="102" t="n"/>
      <c r="B232" s="100" t="n"/>
      <c r="C232" s="100" t="n"/>
      <c r="D232" s="101" t="n"/>
      <c r="E232" s="100" t="n"/>
      <c r="F232" s="100" t="n"/>
    </row>
    <row r="233" ht="15" customHeight="1" s="52">
      <c r="A233" s="102" t="n"/>
      <c r="B233" s="100" t="n"/>
      <c r="C233" s="100" t="n"/>
      <c r="D233" s="101" t="n"/>
      <c r="E233" s="100" t="n"/>
      <c r="F233" s="100" t="n"/>
    </row>
    <row r="234" ht="15" customHeight="1" s="52">
      <c r="A234" s="102" t="n"/>
      <c r="B234" s="100" t="n"/>
      <c r="C234" s="100" t="n"/>
      <c r="D234" s="101" t="n"/>
      <c r="E234" s="100" t="n"/>
      <c r="F234" s="100" t="n"/>
    </row>
    <row r="235" ht="15" customHeight="1" s="52">
      <c r="A235" s="102" t="n"/>
      <c r="B235" s="100" t="n"/>
      <c r="C235" s="100" t="n"/>
      <c r="D235" s="101" t="n"/>
      <c r="E235" s="100" t="n"/>
      <c r="F235" s="100" t="n"/>
    </row>
    <row r="236" ht="15" customHeight="1" s="52">
      <c r="A236" s="102" t="n"/>
      <c r="B236" s="100" t="n"/>
      <c r="C236" s="100" t="n"/>
      <c r="D236" s="101" t="n"/>
      <c r="E236" s="100" t="n"/>
      <c r="F236" s="100" t="n"/>
    </row>
    <row r="237" ht="15" customHeight="1" s="52">
      <c r="A237" s="102" t="n"/>
      <c r="B237" s="100" t="n"/>
      <c r="C237" s="100" t="n"/>
      <c r="D237" s="101" t="n"/>
      <c r="E237" s="100" t="n"/>
      <c r="F237" s="100" t="n"/>
    </row>
    <row r="238" ht="15" customHeight="1" s="52">
      <c r="A238" s="102" t="n"/>
      <c r="B238" s="100" t="n"/>
      <c r="C238" s="100" t="n"/>
      <c r="D238" s="101" t="n"/>
      <c r="E238" s="100" t="n"/>
      <c r="F238" s="100" t="n"/>
    </row>
    <row r="239" ht="15" customHeight="1" s="52">
      <c r="A239" s="102" t="n"/>
      <c r="B239" s="100" t="n"/>
      <c r="C239" s="100" t="n"/>
      <c r="D239" s="101" t="n"/>
      <c r="E239" s="100" t="n"/>
      <c r="F239" s="100" t="n"/>
    </row>
    <row r="240" ht="15" customHeight="1" s="52">
      <c r="A240" s="102" t="n"/>
      <c r="B240" s="100" t="n"/>
      <c r="C240" s="100" t="n"/>
      <c r="D240" s="101" t="n"/>
      <c r="E240" s="100" t="n"/>
      <c r="F240" s="100" t="n"/>
    </row>
    <row r="241" ht="15" customHeight="1" s="52">
      <c r="A241" s="102" t="n"/>
      <c r="B241" s="100" t="n"/>
      <c r="C241" s="100" t="n"/>
      <c r="D241" s="101" t="n"/>
      <c r="E241" s="100" t="n"/>
      <c r="F241" s="100" t="n"/>
    </row>
    <row r="242" ht="15" customHeight="1" s="52">
      <c r="A242" s="102" t="n"/>
      <c r="B242" s="100" t="n"/>
      <c r="C242" s="100" t="n"/>
      <c r="D242" s="101" t="n"/>
      <c r="E242" s="100" t="n"/>
      <c r="F242" s="100" t="n"/>
    </row>
    <row r="243" ht="15" customHeight="1" s="52">
      <c r="A243" s="102" t="n"/>
      <c r="B243" s="100" t="n"/>
      <c r="C243" s="100" t="n"/>
      <c r="D243" s="101" t="n"/>
      <c r="E243" s="100" t="n"/>
      <c r="F243" s="100" t="n"/>
    </row>
    <row r="244" ht="15" customHeight="1" s="52">
      <c r="A244" s="102" t="n"/>
      <c r="B244" s="100" t="n"/>
      <c r="C244" s="100" t="n"/>
      <c r="D244" s="101" t="n"/>
      <c r="E244" s="100" t="n"/>
      <c r="F244" s="100" t="n"/>
    </row>
    <row r="245" ht="15" customHeight="1" s="52">
      <c r="A245" s="102" t="n"/>
      <c r="B245" s="100" t="n"/>
      <c r="C245" s="100" t="n"/>
      <c r="D245" s="101" t="n"/>
      <c r="E245" s="100" t="n"/>
      <c r="F245" s="100" t="n"/>
    </row>
    <row r="246" ht="15" customHeight="1" s="52">
      <c r="A246" s="102" t="n"/>
      <c r="B246" s="100" t="n"/>
      <c r="C246" s="100" t="n"/>
      <c r="D246" s="101" t="n"/>
      <c r="E246" s="100" t="n"/>
      <c r="F246" s="100" t="n"/>
    </row>
    <row r="247" ht="15" customHeight="1" s="52">
      <c r="A247" s="102" t="n"/>
      <c r="B247" s="100" t="n"/>
      <c r="C247" s="100" t="n"/>
      <c r="D247" s="101" t="n"/>
      <c r="E247" s="100" t="n"/>
      <c r="F247" s="100" t="n"/>
    </row>
    <row r="248" ht="15" customHeight="1" s="52">
      <c r="A248" s="102" t="n"/>
      <c r="B248" s="100" t="n"/>
      <c r="C248" s="100" t="n"/>
      <c r="D248" s="101" t="n"/>
      <c r="E248" s="100" t="n"/>
      <c r="F248" s="100" t="n"/>
    </row>
    <row r="249" ht="15" customHeight="1" s="52">
      <c r="A249" s="102" t="n"/>
      <c r="B249" s="100" t="n"/>
      <c r="C249" s="100" t="n"/>
      <c r="D249" s="101" t="n"/>
      <c r="E249" s="100" t="n"/>
      <c r="F249" s="100" t="n"/>
    </row>
    <row r="250" ht="15" customHeight="1" s="52">
      <c r="A250" s="102" t="n"/>
      <c r="B250" s="100" t="n"/>
      <c r="C250" s="100" t="n"/>
      <c r="D250" s="101" t="n"/>
      <c r="E250" s="100" t="n"/>
      <c r="F250" s="100" t="n"/>
    </row>
    <row r="251" ht="15" customHeight="1" s="52">
      <c r="A251" s="102" t="n"/>
      <c r="B251" s="100" t="n"/>
      <c r="C251" s="100" t="n"/>
      <c r="D251" s="101" t="n"/>
      <c r="E251" s="100" t="n"/>
      <c r="F251" s="100" t="n"/>
    </row>
    <row r="252" ht="15" customHeight="1" s="52">
      <c r="A252" s="102" t="n"/>
      <c r="B252" s="100" t="n"/>
      <c r="C252" s="100" t="n"/>
      <c r="D252" s="101" t="n"/>
      <c r="E252" s="100" t="n"/>
      <c r="F252" s="100" t="n"/>
    </row>
    <row r="253" ht="15" customHeight="1" s="52">
      <c r="A253" s="102" t="n"/>
      <c r="B253" s="100" t="n"/>
      <c r="C253" s="100" t="n"/>
      <c r="D253" s="101" t="n"/>
      <c r="E253" s="100" t="n"/>
      <c r="F253" s="100" t="n"/>
    </row>
    <row r="254" ht="15" customHeight="1" s="52">
      <c r="A254" s="102" t="n"/>
      <c r="B254" s="100" t="n"/>
      <c r="C254" s="100" t="n"/>
      <c r="D254" s="101" t="n"/>
      <c r="E254" s="100" t="n"/>
      <c r="F254" s="100" t="n"/>
    </row>
    <row r="255" ht="15" customHeight="1" s="52">
      <c r="A255" s="102" t="n"/>
      <c r="B255" s="100" t="n"/>
      <c r="C255" s="100" t="n"/>
      <c r="D255" s="101" t="n"/>
      <c r="E255" s="100" t="n"/>
      <c r="F255" s="100" t="n"/>
    </row>
    <row r="256" ht="15" customHeight="1" s="52">
      <c r="A256" s="102" t="n"/>
      <c r="B256" s="100" t="n"/>
      <c r="C256" s="100" t="n"/>
      <c r="D256" s="101" t="n"/>
      <c r="E256" s="100" t="n"/>
      <c r="F256" s="100" t="n"/>
    </row>
    <row r="257" ht="15" customHeight="1" s="52">
      <c r="A257" s="102" t="n"/>
      <c r="B257" s="100" t="n"/>
      <c r="C257" s="100" t="n"/>
      <c r="D257" s="101" t="n"/>
      <c r="E257" s="100" t="n"/>
      <c r="F257" s="100" t="n"/>
    </row>
    <row r="258" ht="15" customHeight="1" s="52">
      <c r="A258" s="102" t="n"/>
      <c r="B258" s="100" t="n"/>
      <c r="C258" s="100" t="n"/>
      <c r="D258" s="101" t="n"/>
      <c r="E258" s="100" t="n"/>
      <c r="F258" s="100" t="n"/>
    </row>
    <row r="259" ht="15" customHeight="1" s="52">
      <c r="A259" s="102" t="n"/>
      <c r="B259" s="100" t="n"/>
      <c r="C259" s="100" t="n"/>
      <c r="D259" s="101" t="n"/>
      <c r="E259" s="100" t="n"/>
      <c r="F259" s="100" t="n"/>
    </row>
    <row r="260" ht="15" customHeight="1" s="52">
      <c r="A260" s="102" t="n"/>
      <c r="B260" s="100" t="n"/>
      <c r="C260" s="100" t="n"/>
      <c r="D260" s="101" t="n"/>
      <c r="E260" s="100" t="n"/>
      <c r="F260" s="100" t="n"/>
    </row>
    <row r="261" ht="15" customHeight="1" s="52">
      <c r="A261" s="102" t="n"/>
      <c r="B261" s="100" t="n"/>
      <c r="C261" s="100" t="n"/>
      <c r="D261" s="101" t="n"/>
      <c r="E261" s="100" t="n"/>
      <c r="F261" s="100" t="n"/>
    </row>
    <row r="262" ht="15" customHeight="1" s="52">
      <c r="A262" s="102" t="n"/>
      <c r="B262" s="100" t="n"/>
      <c r="C262" s="100" t="n"/>
      <c r="D262" s="101" t="n"/>
      <c r="E262" s="100" t="n"/>
      <c r="F262" s="100" t="n"/>
    </row>
    <row r="263" ht="15" customHeight="1" s="52">
      <c r="A263" s="102" t="n"/>
      <c r="B263" s="100" t="n"/>
      <c r="C263" s="100" t="n"/>
      <c r="D263" s="101" t="n"/>
      <c r="E263" s="100" t="n"/>
      <c r="F263" s="100" t="n"/>
    </row>
    <row r="264" ht="15" customHeight="1" s="52">
      <c r="A264" s="102" t="n"/>
      <c r="B264" s="100" t="n"/>
      <c r="C264" s="100" t="n"/>
      <c r="D264" s="101" t="n"/>
      <c r="E264" s="100" t="n"/>
      <c r="F264" s="100" t="n"/>
    </row>
    <row r="265" ht="15" customHeight="1" s="52">
      <c r="A265" s="102" t="n"/>
      <c r="B265" s="100" t="n"/>
      <c r="C265" s="100" t="n"/>
      <c r="D265" s="101" t="n"/>
      <c r="E265" s="100" t="n"/>
      <c r="F265" s="100" t="n"/>
    </row>
    <row r="266" ht="15" customHeight="1" s="52">
      <c r="A266" s="102" t="n"/>
      <c r="B266" s="100" t="n"/>
      <c r="C266" s="100" t="n"/>
      <c r="D266" s="101" t="n"/>
      <c r="E266" s="100" t="n"/>
      <c r="F266" s="100" t="n"/>
    </row>
    <row r="267" ht="15" customHeight="1" s="52">
      <c r="A267" s="102" t="n"/>
      <c r="B267" s="100" t="n"/>
      <c r="C267" s="100" t="n"/>
      <c r="D267" s="101" t="n"/>
      <c r="E267" s="100" t="n"/>
      <c r="F267" s="100" t="n"/>
    </row>
    <row r="268" ht="15" customHeight="1" s="52">
      <c r="A268" s="102" t="n"/>
      <c r="B268" s="100" t="n"/>
      <c r="C268" s="100" t="n"/>
      <c r="D268" s="101" t="n"/>
      <c r="E268" s="100" t="n"/>
      <c r="F268" s="100" t="n"/>
    </row>
    <row r="269" ht="15" customHeight="1" s="52">
      <c r="A269" s="102" t="n"/>
      <c r="B269" s="100" t="n"/>
      <c r="C269" s="100" t="n"/>
      <c r="D269" s="101" t="n"/>
      <c r="E269" s="100" t="n"/>
      <c r="F269" s="100" t="n"/>
    </row>
    <row r="270" ht="15" customHeight="1" s="52">
      <c r="A270" s="102" t="n"/>
      <c r="B270" s="100" t="n"/>
      <c r="C270" s="100" t="n"/>
      <c r="D270" s="101" t="n"/>
      <c r="E270" s="100" t="n"/>
      <c r="F270" s="100" t="n"/>
    </row>
    <row r="271" ht="15" customHeight="1" s="52">
      <c r="A271" s="102" t="n"/>
      <c r="B271" s="100" t="n"/>
      <c r="C271" s="100" t="n"/>
      <c r="D271" s="101" t="n"/>
      <c r="E271" s="100" t="n"/>
      <c r="F271" s="100" t="n"/>
    </row>
    <row r="272" ht="15" customHeight="1" s="52">
      <c r="A272" s="102" t="n"/>
      <c r="B272" s="100" t="n"/>
      <c r="C272" s="100" t="n"/>
      <c r="D272" s="101" t="n"/>
      <c r="E272" s="100" t="n"/>
      <c r="F272" s="100" t="n"/>
    </row>
    <row r="273" ht="15" customHeight="1" s="52">
      <c r="A273" s="102" t="n"/>
      <c r="B273" s="100" t="n"/>
      <c r="C273" s="100" t="n"/>
      <c r="D273" s="101" t="n"/>
      <c r="E273" s="100" t="n"/>
      <c r="F273" s="100" t="n"/>
    </row>
    <row r="274" ht="15" customHeight="1" s="52">
      <c r="A274" s="102" t="n"/>
      <c r="B274" s="100" t="n"/>
      <c r="C274" s="100" t="n"/>
      <c r="D274" s="101" t="n"/>
      <c r="E274" s="100" t="n"/>
      <c r="F274" s="100" t="n"/>
    </row>
    <row r="275" ht="15" customHeight="1" s="52">
      <c r="A275" s="102" t="n"/>
      <c r="B275" s="100" t="n"/>
      <c r="C275" s="100" t="n"/>
      <c r="D275" s="101" t="n"/>
      <c r="E275" s="100" t="n"/>
      <c r="F275" s="100" t="n"/>
    </row>
    <row r="276" ht="15" customHeight="1" s="52">
      <c r="A276" s="102" t="n"/>
      <c r="B276" s="100" t="n"/>
      <c r="C276" s="100" t="n"/>
      <c r="D276" s="101" t="n"/>
      <c r="E276" s="100" t="n"/>
      <c r="F276" s="100" t="n"/>
    </row>
    <row r="277" ht="15" customHeight="1" s="52">
      <c r="A277" s="102" t="n"/>
      <c r="B277" s="100" t="n"/>
      <c r="C277" s="100" t="n"/>
      <c r="D277" s="101" t="n"/>
      <c r="E277" s="100" t="n"/>
      <c r="F277" s="100" t="n"/>
    </row>
    <row r="278" ht="15" customHeight="1" s="52">
      <c r="A278" s="102" t="n"/>
      <c r="B278" s="100" t="n"/>
      <c r="C278" s="100" t="n"/>
      <c r="D278" s="101" t="n"/>
      <c r="E278" s="100" t="n"/>
      <c r="F278" s="100" t="n"/>
    </row>
    <row r="279" ht="15" customHeight="1" s="52">
      <c r="A279" s="102" t="n"/>
      <c r="B279" s="100" t="n"/>
      <c r="C279" s="100" t="n"/>
      <c r="D279" s="101" t="n"/>
      <c r="E279" s="100" t="n"/>
      <c r="F279" s="100" t="n"/>
    </row>
    <row r="280" ht="15" customHeight="1" s="52">
      <c r="A280" s="102" t="n"/>
      <c r="B280" s="100" t="n"/>
      <c r="C280" s="100" t="n"/>
      <c r="D280" s="101" t="n"/>
      <c r="E280" s="100" t="n"/>
      <c r="F280" s="100" t="n"/>
    </row>
    <row r="281" ht="15" customHeight="1" s="52">
      <c r="A281" s="102" t="n"/>
      <c r="B281" s="100" t="n"/>
      <c r="C281" s="100" t="n"/>
      <c r="D281" s="101" t="n"/>
      <c r="E281" s="100" t="n"/>
      <c r="F281" s="100" t="n"/>
    </row>
    <row r="282" ht="15" customHeight="1" s="52">
      <c r="A282" s="102" t="n"/>
      <c r="B282" s="100" t="n"/>
      <c r="C282" s="100" t="n"/>
      <c r="D282" s="101" t="n"/>
      <c r="E282" s="100" t="n"/>
      <c r="F282" s="100" t="n"/>
    </row>
    <row r="283" ht="15" customHeight="1" s="52">
      <c r="A283" s="102" t="n"/>
      <c r="B283" s="100" t="n"/>
      <c r="C283" s="100" t="n"/>
      <c r="D283" s="101" t="n"/>
      <c r="E283" s="100" t="n"/>
      <c r="F283" s="100" t="n"/>
    </row>
    <row r="284" ht="15" customHeight="1" s="52">
      <c r="A284" s="102" t="n"/>
      <c r="B284" s="100" t="n"/>
      <c r="C284" s="100" t="n"/>
      <c r="D284" s="101" t="n"/>
      <c r="E284" s="100" t="n"/>
      <c r="F284" s="100" t="n"/>
    </row>
    <row r="285" ht="15" customHeight="1" s="52">
      <c r="A285" s="102" t="n"/>
      <c r="B285" s="100" t="n"/>
      <c r="C285" s="100" t="n"/>
      <c r="D285" s="101" t="n"/>
      <c r="E285" s="100" t="n"/>
      <c r="F285" s="100" t="n"/>
    </row>
    <row r="286" ht="15" customHeight="1" s="52">
      <c r="A286" s="102" t="n"/>
      <c r="B286" s="100" t="n"/>
      <c r="C286" s="100" t="n"/>
      <c r="D286" s="101" t="n"/>
      <c r="E286" s="100" t="n"/>
      <c r="F286" s="100" t="n"/>
    </row>
    <row r="287" ht="15" customHeight="1" s="52">
      <c r="A287" s="102" t="n"/>
      <c r="B287" s="100" t="n"/>
      <c r="C287" s="100" t="n"/>
      <c r="D287" s="101" t="n"/>
      <c r="E287" s="100" t="n"/>
      <c r="F287" s="100" t="n"/>
    </row>
    <row r="288" ht="15" customHeight="1" s="52">
      <c r="A288" s="102" t="n"/>
      <c r="B288" s="100" t="n"/>
      <c r="C288" s="100" t="n"/>
      <c r="D288" s="101" t="n"/>
      <c r="E288" s="100" t="n"/>
      <c r="F288" s="100" t="n"/>
    </row>
    <row r="289" ht="15" customHeight="1" s="52">
      <c r="A289" s="102" t="n"/>
      <c r="B289" s="100" t="n"/>
      <c r="C289" s="100" t="n"/>
      <c r="D289" s="101" t="n"/>
      <c r="E289" s="100" t="n"/>
      <c r="F289" s="100" t="n"/>
    </row>
    <row r="290" ht="15" customHeight="1" s="52">
      <c r="A290" s="102" t="n"/>
      <c r="B290" s="100" t="n"/>
      <c r="C290" s="100" t="n"/>
      <c r="D290" s="101" t="n"/>
      <c r="E290" s="100" t="n"/>
      <c r="F290" s="100" t="n"/>
    </row>
    <row r="291" ht="15" customHeight="1" s="52">
      <c r="A291" s="102" t="n"/>
      <c r="B291" s="100" t="n"/>
      <c r="C291" s="100" t="n"/>
      <c r="D291" s="101" t="n"/>
      <c r="E291" s="100" t="n"/>
      <c r="F291" s="100" t="n"/>
    </row>
    <row r="292" ht="15" customHeight="1" s="52">
      <c r="A292" s="102" t="n"/>
      <c r="B292" s="100" t="n"/>
      <c r="C292" s="100" t="n"/>
      <c r="D292" s="101" t="n"/>
      <c r="E292" s="100" t="n"/>
      <c r="F292" s="100" t="n"/>
    </row>
    <row r="293" ht="15" customHeight="1" s="52">
      <c r="A293" s="102" t="n"/>
      <c r="B293" s="100" t="n"/>
      <c r="C293" s="100" t="n"/>
      <c r="D293" s="101" t="n"/>
      <c r="E293" s="100" t="n"/>
      <c r="F293" s="100" t="n"/>
    </row>
    <row r="294" ht="15" customHeight="1" s="52">
      <c r="A294" s="102" t="n"/>
      <c r="B294" s="100" t="n"/>
      <c r="C294" s="100" t="n"/>
      <c r="D294" s="101" t="n"/>
      <c r="E294" s="100" t="n"/>
      <c r="F294" s="100" t="n"/>
    </row>
    <row r="295" ht="15" customHeight="1" s="52">
      <c r="A295" s="102" t="n"/>
      <c r="B295" s="100" t="n"/>
      <c r="C295" s="100" t="n"/>
      <c r="D295" s="101" t="n"/>
      <c r="E295" s="100" t="n"/>
      <c r="F295" s="100" t="n"/>
    </row>
    <row r="296" ht="15" customHeight="1" s="52">
      <c r="A296" s="102" t="n"/>
      <c r="B296" s="100" t="n"/>
      <c r="C296" s="100" t="n"/>
      <c r="D296" s="101" t="n"/>
      <c r="E296" s="100" t="n"/>
      <c r="F296" s="100" t="n"/>
    </row>
    <row r="297" ht="15" customHeight="1" s="52">
      <c r="A297" s="102" t="n"/>
      <c r="B297" s="100" t="n"/>
      <c r="C297" s="100" t="n"/>
      <c r="D297" s="101" t="n"/>
      <c r="E297" s="100" t="n"/>
      <c r="F297" s="100" t="n"/>
    </row>
    <row r="298" ht="15" customHeight="1" s="52">
      <c r="A298" s="102" t="n"/>
      <c r="B298" s="100" t="n"/>
      <c r="C298" s="100" t="n"/>
      <c r="D298" s="101" t="n"/>
      <c r="E298" s="100" t="n"/>
      <c r="F298" s="100" t="n"/>
    </row>
    <row r="299" ht="15" customHeight="1" s="52">
      <c r="A299" s="102" t="n"/>
      <c r="B299" s="100" t="n"/>
      <c r="C299" s="100" t="n"/>
      <c r="D299" s="101" t="n"/>
      <c r="E299" s="100" t="n"/>
      <c r="F299" s="100" t="n"/>
    </row>
    <row r="300" ht="15" customHeight="1" s="52">
      <c r="A300" s="102" t="n"/>
      <c r="B300" s="100" t="n"/>
      <c r="C300" s="100" t="n"/>
      <c r="D300" s="101" t="n"/>
      <c r="E300" s="100" t="n"/>
      <c r="F300" s="100" t="n"/>
    </row>
    <row r="301" ht="15" customHeight="1" s="52">
      <c r="A301" s="102" t="n"/>
      <c r="B301" s="100" t="n"/>
      <c r="C301" s="100" t="n"/>
      <c r="D301" s="101" t="n"/>
      <c r="E301" s="100" t="n"/>
      <c r="F301" s="100" t="n"/>
    </row>
    <row r="302" ht="15" customHeight="1" s="52">
      <c r="A302" s="102" t="n"/>
      <c r="B302" s="100" t="n"/>
      <c r="C302" s="100" t="n"/>
      <c r="D302" s="101" t="n"/>
      <c r="E302" s="100" t="n"/>
      <c r="F302" s="100" t="n"/>
    </row>
    <row r="303" ht="15" customHeight="1" s="52">
      <c r="A303" s="102" t="n"/>
      <c r="B303" s="100" t="n"/>
      <c r="C303" s="100" t="n"/>
      <c r="D303" s="101" t="n"/>
      <c r="E303" s="100" t="n"/>
      <c r="F303" s="100" t="n"/>
    </row>
    <row r="304" ht="15" customHeight="1" s="52">
      <c r="A304" s="102" t="n"/>
      <c r="B304" s="100" t="n"/>
      <c r="C304" s="100" t="n"/>
      <c r="D304" s="101" t="n"/>
      <c r="E304" s="100" t="n"/>
      <c r="F304" s="100" t="n"/>
    </row>
    <row r="305" ht="15" customHeight="1" s="52">
      <c r="A305" s="102" t="n"/>
      <c r="B305" s="100" t="n"/>
      <c r="C305" s="100" t="n"/>
      <c r="D305" s="101" t="n"/>
      <c r="E305" s="100" t="n"/>
      <c r="F305" s="100" t="n"/>
    </row>
    <row r="306" ht="15" customHeight="1" s="52">
      <c r="A306" s="102" t="n"/>
      <c r="B306" s="100" t="n"/>
      <c r="C306" s="100" t="n"/>
      <c r="D306" s="101" t="n"/>
      <c r="E306" s="100" t="n"/>
      <c r="F306" s="100" t="n"/>
    </row>
    <row r="307" ht="15" customHeight="1" s="52">
      <c r="A307" s="102" t="n"/>
      <c r="B307" s="100" t="n"/>
      <c r="C307" s="100" t="n"/>
      <c r="D307" s="101" t="n"/>
      <c r="E307" s="100" t="n"/>
      <c r="F307" s="100" t="n"/>
    </row>
    <row r="308" ht="15" customHeight="1" s="52">
      <c r="A308" s="102" t="n"/>
      <c r="B308" s="100" t="n"/>
      <c r="C308" s="100" t="n"/>
      <c r="D308" s="101" t="n"/>
      <c r="E308" s="100" t="n"/>
      <c r="F308" s="100" t="n"/>
    </row>
    <row r="309" ht="15" customHeight="1" s="52">
      <c r="A309" s="102" t="n"/>
      <c r="B309" s="100" t="n"/>
      <c r="C309" s="100" t="n"/>
      <c r="D309" s="101" t="n"/>
      <c r="E309" s="100" t="n"/>
      <c r="F309" s="100" t="n"/>
    </row>
    <row r="310" ht="15" customHeight="1" s="52">
      <c r="A310" s="102" t="n"/>
      <c r="B310" s="100" t="n"/>
      <c r="C310" s="100" t="n"/>
      <c r="D310" s="101" t="n"/>
      <c r="E310" s="100" t="n"/>
      <c r="F310" s="100" t="n"/>
    </row>
    <row r="311" ht="15" customHeight="1" s="52">
      <c r="A311" s="102" t="n"/>
      <c r="B311" s="100" t="n"/>
      <c r="C311" s="100" t="n"/>
      <c r="D311" s="101" t="n"/>
      <c r="E311" s="100" t="n"/>
      <c r="F311" s="100" t="n"/>
    </row>
    <row r="312" ht="15" customHeight="1" s="52">
      <c r="A312" s="102" t="n"/>
      <c r="B312" s="100" t="n"/>
      <c r="C312" s="100" t="n"/>
      <c r="D312" s="101" t="n"/>
      <c r="E312" s="100" t="n"/>
      <c r="F312" s="100" t="n"/>
    </row>
    <row r="313" ht="15" customHeight="1" s="52">
      <c r="A313" s="102" t="n"/>
      <c r="B313" s="100" t="n"/>
      <c r="C313" s="100" t="n"/>
      <c r="D313" s="101" t="n"/>
      <c r="E313" s="100" t="n"/>
      <c r="F313" s="100" t="n"/>
    </row>
    <row r="314" ht="15" customHeight="1" s="52">
      <c r="A314" s="102" t="n"/>
      <c r="B314" s="100" t="n"/>
      <c r="C314" s="100" t="n"/>
      <c r="D314" s="101" t="n"/>
      <c r="E314" s="100" t="n"/>
      <c r="F314" s="100" t="n"/>
    </row>
    <row r="315" ht="15" customHeight="1" s="52">
      <c r="A315" s="102" t="n"/>
      <c r="B315" s="100" t="n"/>
      <c r="C315" s="100" t="n"/>
      <c r="D315" s="101" t="n"/>
      <c r="E315" s="100" t="n"/>
      <c r="F315" s="100" t="n"/>
    </row>
    <row r="316" ht="15" customHeight="1" s="52">
      <c r="A316" s="102" t="n"/>
      <c r="B316" s="100" t="n"/>
      <c r="C316" s="100" t="n"/>
      <c r="D316" s="101" t="n"/>
      <c r="E316" s="100" t="n"/>
      <c r="F316" s="100" t="n"/>
    </row>
    <row r="317" ht="15" customHeight="1" s="52">
      <c r="A317" s="102" t="n"/>
      <c r="B317" s="100" t="n"/>
      <c r="C317" s="100" t="n"/>
      <c r="D317" s="101" t="n"/>
      <c r="E317" s="100" t="n"/>
      <c r="F317" s="100" t="n"/>
    </row>
    <row r="318" ht="15" customHeight="1" s="52">
      <c r="A318" s="102" t="n"/>
      <c r="B318" s="100" t="n"/>
      <c r="C318" s="100" t="n"/>
      <c r="D318" s="101" t="n"/>
      <c r="E318" s="100" t="n"/>
      <c r="F318" s="100" t="n"/>
    </row>
    <row r="319" ht="15" customHeight="1" s="52">
      <c r="A319" s="102" t="n"/>
      <c r="B319" s="100" t="n"/>
      <c r="C319" s="100" t="n"/>
      <c r="D319" s="101" t="n"/>
      <c r="E319" s="100" t="n"/>
      <c r="F319" s="100" t="n"/>
    </row>
    <row r="320" ht="15" customHeight="1" s="52">
      <c r="A320" s="102" t="n"/>
      <c r="B320" s="100" t="n"/>
      <c r="C320" s="100" t="n"/>
      <c r="D320" s="101" t="n"/>
      <c r="E320" s="100" t="n"/>
      <c r="F320" s="100" t="n"/>
    </row>
    <row r="321" ht="15" customHeight="1" s="52">
      <c r="A321" s="102" t="n"/>
      <c r="B321" s="100" t="n"/>
      <c r="C321" s="100" t="n"/>
      <c r="D321" s="101" t="n"/>
      <c r="E321" s="100" t="n"/>
      <c r="F321" s="100" t="n"/>
    </row>
    <row r="322" ht="15" customHeight="1" s="52">
      <c r="A322" s="102" t="n"/>
      <c r="B322" s="100" t="n"/>
      <c r="C322" s="100" t="n"/>
      <c r="D322" s="101" t="n"/>
      <c r="E322" s="100" t="n"/>
      <c r="F322" s="100" t="n"/>
    </row>
    <row r="323" ht="15" customHeight="1" s="52">
      <c r="A323" s="102" t="n"/>
      <c r="B323" s="100" t="n"/>
      <c r="C323" s="100" t="n"/>
      <c r="D323" s="101" t="n"/>
      <c r="E323" s="100" t="n"/>
      <c r="F323" s="100" t="n"/>
    </row>
    <row r="324" ht="15" customHeight="1" s="52">
      <c r="A324" s="102" t="n"/>
      <c r="B324" s="100" t="n"/>
      <c r="C324" s="100" t="n"/>
      <c r="D324" s="101" t="n"/>
      <c r="E324" s="100" t="n"/>
      <c r="F324" s="100" t="n"/>
    </row>
    <row r="325" ht="15" customHeight="1" s="52">
      <c r="A325" s="102" t="n"/>
      <c r="B325" s="100" t="n"/>
      <c r="C325" s="100" t="n"/>
      <c r="D325" s="101" t="n"/>
      <c r="E325" s="100" t="n"/>
      <c r="F325" s="100" t="n"/>
    </row>
    <row r="326" ht="15" customHeight="1" s="52">
      <c r="A326" s="102" t="n"/>
      <c r="B326" s="100" t="n"/>
      <c r="C326" s="100" t="n"/>
      <c r="D326" s="101" t="n"/>
      <c r="E326" s="100" t="n"/>
      <c r="F326" s="100" t="n"/>
    </row>
    <row r="327" ht="15" customHeight="1" s="52">
      <c r="A327" s="102" t="n"/>
      <c r="B327" s="100" t="n"/>
      <c r="C327" s="100" t="n"/>
      <c r="D327" s="101" t="n"/>
      <c r="E327" s="100" t="n"/>
      <c r="F327" s="100" t="n"/>
    </row>
    <row r="328" ht="15" customHeight="1" s="52">
      <c r="A328" s="102" t="n"/>
      <c r="B328" s="100" t="n"/>
      <c r="C328" s="100" t="n"/>
      <c r="D328" s="101" t="n"/>
      <c r="E328" s="100" t="n"/>
      <c r="F328" s="100" t="n"/>
    </row>
    <row r="329" ht="15" customHeight="1" s="52">
      <c r="A329" s="102" t="n"/>
      <c r="B329" s="100" t="n"/>
      <c r="C329" s="100" t="n"/>
      <c r="D329" s="101" t="n"/>
      <c r="E329" s="100" t="n"/>
      <c r="F329" s="100" t="n"/>
    </row>
    <row r="330" ht="15" customHeight="1" s="52">
      <c r="A330" s="102" t="n"/>
      <c r="B330" s="100" t="n"/>
      <c r="C330" s="100" t="n"/>
      <c r="D330" s="101" t="n"/>
      <c r="E330" s="100" t="n"/>
      <c r="F330" s="100" t="n"/>
    </row>
    <row r="331" ht="15" customHeight="1" s="52">
      <c r="A331" s="102" t="n"/>
      <c r="B331" s="100" t="n"/>
      <c r="C331" s="100" t="n"/>
      <c r="D331" s="101" t="n"/>
      <c r="E331" s="100" t="n"/>
      <c r="F331" s="100" t="n"/>
    </row>
    <row r="332" ht="15" customHeight="1" s="52">
      <c r="A332" s="102" t="n"/>
      <c r="B332" s="100" t="n"/>
      <c r="C332" s="100" t="n"/>
      <c r="D332" s="101" t="n"/>
      <c r="E332" s="100" t="n"/>
      <c r="F332" s="100" t="n"/>
    </row>
    <row r="333" ht="15" customHeight="1" s="52">
      <c r="A333" s="102" t="n"/>
      <c r="B333" s="100" t="n"/>
      <c r="C333" s="100" t="n"/>
      <c r="D333" s="101" t="n"/>
      <c r="E333" s="100" t="n"/>
      <c r="F333" s="100" t="n"/>
    </row>
    <row r="334" ht="15" customHeight="1" s="52">
      <c r="A334" s="102" t="n"/>
      <c r="B334" s="100" t="n"/>
      <c r="C334" s="100" t="n"/>
      <c r="D334" s="101" t="n"/>
      <c r="E334" s="100" t="n"/>
      <c r="F334" s="100" t="n"/>
    </row>
    <row r="335" ht="15" customHeight="1" s="52">
      <c r="A335" s="102" t="n"/>
      <c r="B335" s="100" t="n"/>
      <c r="C335" s="100" t="n"/>
      <c r="D335" s="101" t="n"/>
      <c r="E335" s="100" t="n"/>
      <c r="F335" s="100" t="n"/>
    </row>
    <row r="336" ht="15" customHeight="1" s="52">
      <c r="A336" s="102" t="n"/>
      <c r="B336" s="100" t="n"/>
      <c r="C336" s="100" t="n"/>
      <c r="D336" s="101" t="n"/>
      <c r="E336" s="100" t="n"/>
      <c r="F336" s="100" t="n"/>
    </row>
    <row r="337" ht="15" customHeight="1" s="52">
      <c r="A337" s="102" t="n"/>
      <c r="B337" s="100" t="n"/>
      <c r="C337" s="100" t="n"/>
      <c r="D337" s="101" t="n"/>
      <c r="E337" s="100" t="n"/>
      <c r="F337" s="100" t="n"/>
    </row>
    <row r="338" ht="15" customHeight="1" s="52">
      <c r="A338" s="102" t="n"/>
      <c r="B338" s="100" t="n"/>
      <c r="C338" s="100" t="n"/>
      <c r="D338" s="101" t="n"/>
      <c r="E338" s="100" t="n"/>
      <c r="F338" s="100" t="n"/>
    </row>
    <row r="339" ht="15" customHeight="1" s="52">
      <c r="A339" s="102" t="n"/>
      <c r="B339" s="100" t="n"/>
      <c r="C339" s="100" t="n"/>
      <c r="D339" s="101" t="n"/>
      <c r="E339" s="100" t="n"/>
      <c r="F339" s="100" t="n"/>
    </row>
    <row r="340" ht="15" customHeight="1" s="52">
      <c r="A340" s="102" t="n"/>
      <c r="B340" s="100" t="n"/>
      <c r="C340" s="100" t="n"/>
      <c r="D340" s="101" t="n"/>
      <c r="E340" s="100" t="n"/>
      <c r="F340" s="100" t="n"/>
    </row>
    <row r="341" ht="15" customHeight="1" s="52">
      <c r="A341" s="102" t="n"/>
      <c r="B341" s="100" t="n"/>
      <c r="C341" s="100" t="n"/>
      <c r="D341" s="101" t="n"/>
      <c r="E341" s="100" t="n"/>
      <c r="F341" s="100" t="n"/>
    </row>
    <row r="342" ht="15" customHeight="1" s="52">
      <c r="A342" s="102" t="n"/>
      <c r="B342" s="100" t="n"/>
      <c r="C342" s="100" t="n"/>
      <c r="D342" s="101" t="n"/>
      <c r="E342" s="100" t="n"/>
      <c r="F342" s="100" t="n"/>
    </row>
    <row r="343" ht="15" customHeight="1" s="52">
      <c r="A343" s="102" t="n"/>
      <c r="B343" s="100" t="n"/>
      <c r="C343" s="100" t="n"/>
      <c r="D343" s="101" t="n"/>
      <c r="E343" s="100" t="n"/>
      <c r="F343" s="100" t="n"/>
    </row>
    <row r="344" ht="15" customHeight="1" s="52">
      <c r="A344" s="102" t="n"/>
      <c r="B344" s="100" t="n"/>
      <c r="C344" s="100" t="n"/>
      <c r="D344" s="101" t="n"/>
      <c r="E344" s="100" t="n"/>
      <c r="F344" s="100" t="n"/>
    </row>
    <row r="345" ht="15" customHeight="1" s="52">
      <c r="A345" s="102" t="n"/>
      <c r="B345" s="100" t="n"/>
      <c r="C345" s="100" t="n"/>
      <c r="D345" s="101" t="n"/>
      <c r="E345" s="100" t="n"/>
      <c r="F345" s="100" t="n"/>
    </row>
    <row r="346" ht="15" customHeight="1" s="52">
      <c r="A346" s="102" t="n"/>
      <c r="B346" s="100" t="n"/>
      <c r="C346" s="100" t="n"/>
      <c r="D346" s="101" t="n"/>
      <c r="E346" s="100" t="n"/>
      <c r="F346" s="100" t="n"/>
    </row>
    <row r="347" ht="15" customHeight="1" s="52">
      <c r="A347" s="102" t="n"/>
      <c r="B347" s="100" t="n"/>
      <c r="C347" s="100" t="n"/>
      <c r="D347" s="101" t="n"/>
      <c r="E347" s="100" t="n"/>
      <c r="F347" s="100" t="n"/>
    </row>
    <row r="348" ht="15" customHeight="1" s="52">
      <c r="A348" s="102" t="n"/>
      <c r="B348" s="100" t="n"/>
      <c r="C348" s="100" t="n"/>
      <c r="D348" s="101" t="n"/>
      <c r="E348" s="100" t="n"/>
      <c r="F348" s="100" t="n"/>
    </row>
    <row r="349" ht="15" customHeight="1" s="52">
      <c r="A349" s="102" t="n"/>
      <c r="B349" s="100" t="n"/>
      <c r="C349" s="100" t="n"/>
      <c r="D349" s="101" t="n"/>
      <c r="E349" s="100" t="n"/>
      <c r="F349" s="100" t="n"/>
    </row>
    <row r="350" ht="15" customHeight="1" s="52">
      <c r="A350" s="102" t="n"/>
      <c r="B350" s="100" t="n"/>
      <c r="C350" s="100" t="n"/>
      <c r="D350" s="101" t="n"/>
      <c r="E350" s="100" t="n"/>
      <c r="F350" s="100" t="n"/>
    </row>
    <row r="351" ht="15" customHeight="1" s="52">
      <c r="A351" s="102" t="n"/>
      <c r="B351" s="100" t="n"/>
      <c r="C351" s="100" t="n"/>
      <c r="D351" s="101" t="n"/>
      <c r="E351" s="100" t="n"/>
      <c r="F351" s="100" t="n"/>
    </row>
    <row r="352" ht="15" customHeight="1" s="52">
      <c r="A352" s="102" t="n"/>
      <c r="B352" s="100" t="n"/>
      <c r="C352" s="100" t="n"/>
      <c r="D352" s="101" t="n"/>
      <c r="E352" s="100" t="n"/>
      <c r="F352" s="100" t="n"/>
    </row>
    <row r="353" ht="15" customHeight="1" s="52">
      <c r="A353" s="102" t="n"/>
      <c r="B353" s="100" t="n"/>
      <c r="C353" s="100" t="n"/>
      <c r="D353" s="101" t="n"/>
      <c r="E353" s="100" t="n"/>
      <c r="F353" s="100" t="n"/>
    </row>
    <row r="354" ht="15" customHeight="1" s="52">
      <c r="A354" s="102" t="n"/>
      <c r="B354" s="100" t="n"/>
      <c r="C354" s="100" t="n"/>
      <c r="D354" s="101" t="n"/>
      <c r="E354" s="100" t="n"/>
      <c r="F354" s="100" t="n"/>
    </row>
    <row r="355" ht="15" customHeight="1" s="52">
      <c r="A355" s="102" t="n"/>
      <c r="B355" s="100" t="n"/>
      <c r="C355" s="100" t="n"/>
      <c r="D355" s="101" t="n"/>
      <c r="E355" s="100" t="n"/>
      <c r="F355" s="100" t="n"/>
    </row>
    <row r="356" ht="15" customHeight="1" s="52">
      <c r="A356" s="102" t="n"/>
      <c r="B356" s="100" t="n"/>
      <c r="C356" s="100" t="n"/>
      <c r="D356" s="101" t="n"/>
      <c r="E356" s="100" t="n"/>
      <c r="F356" s="100" t="n"/>
    </row>
    <row r="357" ht="15" customHeight="1" s="52">
      <c r="A357" s="102" t="n"/>
      <c r="B357" s="100" t="n"/>
      <c r="C357" s="100" t="n"/>
      <c r="D357" s="101" t="n"/>
      <c r="E357" s="100" t="n"/>
      <c r="F357" s="100" t="n"/>
    </row>
    <row r="358" ht="15" customHeight="1" s="52">
      <c r="A358" s="102" t="n"/>
      <c r="B358" s="100" t="n"/>
      <c r="C358" s="100" t="n"/>
      <c r="D358" s="101" t="n"/>
      <c r="E358" s="100" t="n"/>
      <c r="F358" s="100" t="n"/>
    </row>
    <row r="359" ht="15" customHeight="1" s="52">
      <c r="A359" s="102" t="n"/>
      <c r="B359" s="100" t="n"/>
      <c r="C359" s="100" t="n"/>
      <c r="D359" s="101" t="n"/>
      <c r="E359" s="100" t="n"/>
      <c r="F359" s="100" t="n"/>
    </row>
    <row r="360" ht="15" customHeight="1" s="52">
      <c r="A360" s="102" t="n"/>
      <c r="B360" s="100" t="n"/>
      <c r="C360" s="100" t="n"/>
      <c r="D360" s="101" t="n"/>
      <c r="E360" s="100" t="n"/>
      <c r="F360" s="100" t="n"/>
    </row>
    <row r="361" ht="15" customHeight="1" s="52">
      <c r="A361" s="102" t="n"/>
      <c r="B361" s="100" t="n"/>
      <c r="C361" s="100" t="n"/>
      <c r="D361" s="101" t="n"/>
      <c r="E361" s="100" t="n"/>
      <c r="F361" s="100" t="n"/>
    </row>
    <row r="362" ht="15" customHeight="1" s="52">
      <c r="A362" s="102" t="n"/>
      <c r="B362" s="100" t="n"/>
      <c r="C362" s="100" t="n"/>
      <c r="D362" s="101" t="n"/>
      <c r="E362" s="100" t="n"/>
      <c r="F362" s="100" t="n"/>
    </row>
    <row r="363" ht="15" customHeight="1" s="52">
      <c r="A363" s="102" t="n"/>
      <c r="B363" s="100" t="n"/>
      <c r="C363" s="100" t="n"/>
      <c r="D363" s="101" t="n"/>
      <c r="E363" s="100" t="n"/>
      <c r="F363" s="100" t="n"/>
    </row>
    <row r="364" ht="15" customHeight="1" s="52">
      <c r="A364" s="102" t="n"/>
      <c r="B364" s="100" t="n"/>
      <c r="C364" s="100" t="n"/>
      <c r="D364" s="101" t="n"/>
      <c r="E364" s="100" t="n"/>
      <c r="F364" s="100" t="n"/>
    </row>
    <row r="365" ht="15" customHeight="1" s="52">
      <c r="A365" s="102" t="n"/>
      <c r="B365" s="100" t="n"/>
      <c r="C365" s="100" t="n"/>
      <c r="D365" s="101" t="n"/>
      <c r="E365" s="100" t="n"/>
      <c r="F365" s="100" t="n"/>
    </row>
    <row r="366" ht="15" customHeight="1" s="52">
      <c r="A366" s="102" t="n"/>
      <c r="B366" s="100" t="n"/>
      <c r="C366" s="100" t="n"/>
      <c r="D366" s="101" t="n"/>
      <c r="E366" s="100" t="n"/>
      <c r="F366" s="100" t="n"/>
    </row>
    <row r="367" ht="15" customHeight="1" s="52">
      <c r="A367" s="102" t="n"/>
      <c r="B367" s="100" t="n"/>
      <c r="C367" s="100" t="n"/>
      <c r="D367" s="101" t="n"/>
      <c r="E367" s="100" t="n"/>
      <c r="F367" s="100" t="n"/>
    </row>
    <row r="368" ht="15" customHeight="1" s="52">
      <c r="A368" s="102" t="n"/>
      <c r="B368" s="100" t="n"/>
      <c r="C368" s="100" t="n"/>
      <c r="D368" s="101" t="n"/>
      <c r="E368" s="100" t="n"/>
      <c r="F368" s="100" t="n"/>
    </row>
    <row r="369" ht="15" customHeight="1" s="52">
      <c r="A369" s="102" t="n"/>
      <c r="B369" s="100" t="n"/>
      <c r="C369" s="100" t="n"/>
      <c r="D369" s="101" t="n"/>
      <c r="E369" s="100" t="n"/>
      <c r="F369" s="100" t="n"/>
    </row>
    <row r="370" ht="15" customHeight="1" s="52">
      <c r="A370" s="102" t="n"/>
      <c r="B370" s="100" t="n"/>
      <c r="C370" s="100" t="n"/>
      <c r="D370" s="101" t="n"/>
      <c r="E370" s="100" t="n"/>
      <c r="F370" s="100" t="n"/>
    </row>
    <row r="371" ht="15" customHeight="1" s="52">
      <c r="A371" s="102" t="n"/>
      <c r="B371" s="100" t="n"/>
      <c r="C371" s="100" t="n"/>
      <c r="D371" s="101" t="n"/>
      <c r="E371" s="100" t="n"/>
      <c r="F371" s="100" t="n"/>
    </row>
    <row r="372" ht="15" customHeight="1" s="52">
      <c r="A372" s="102" t="n"/>
      <c r="B372" s="100" t="n"/>
      <c r="C372" s="100" t="n"/>
      <c r="D372" s="101" t="n"/>
      <c r="E372" s="100" t="n"/>
      <c r="F372" s="100" t="n"/>
    </row>
    <row r="373" ht="15" customHeight="1" s="52">
      <c r="A373" s="102" t="n"/>
      <c r="B373" s="100" t="n"/>
      <c r="C373" s="100" t="n"/>
      <c r="D373" s="101" t="n"/>
      <c r="E373" s="100" t="n"/>
      <c r="F373" s="100" t="n"/>
    </row>
    <row r="374" ht="15" customHeight="1" s="52">
      <c r="A374" s="102" t="n"/>
      <c r="B374" s="100" t="n"/>
      <c r="C374" s="100" t="n"/>
      <c r="D374" s="101" t="n"/>
      <c r="E374" s="100" t="n"/>
      <c r="F374" s="100" t="n"/>
    </row>
    <row r="375" ht="15" customHeight="1" s="52">
      <c r="A375" s="102" t="n"/>
      <c r="B375" s="100" t="n"/>
      <c r="C375" s="100" t="n"/>
      <c r="D375" s="101" t="n"/>
      <c r="E375" s="100" t="n"/>
      <c r="F375" s="100" t="n"/>
    </row>
    <row r="376" ht="15" customHeight="1" s="52">
      <c r="A376" s="102" t="n"/>
      <c r="B376" s="100" t="n"/>
      <c r="C376" s="100" t="n"/>
      <c r="D376" s="101" t="n"/>
      <c r="E376" s="100" t="n"/>
      <c r="F376" s="100" t="n"/>
    </row>
    <row r="377" ht="15" customHeight="1" s="52">
      <c r="A377" s="102" t="n"/>
      <c r="B377" s="100" t="n"/>
      <c r="C377" s="100" t="n"/>
      <c r="D377" s="101" t="n"/>
      <c r="E377" s="100" t="n"/>
      <c r="F377" s="100" t="n"/>
    </row>
    <row r="378" ht="15" customHeight="1" s="52">
      <c r="A378" s="102" t="n"/>
      <c r="B378" s="100" t="n"/>
      <c r="C378" s="100" t="n"/>
      <c r="D378" s="101" t="n"/>
      <c r="E378" s="100" t="n"/>
      <c r="F378" s="100" t="n"/>
    </row>
    <row r="379" ht="15" customHeight="1" s="52">
      <c r="A379" s="102" t="n"/>
      <c r="B379" s="100" t="n"/>
      <c r="C379" s="100" t="n"/>
      <c r="D379" s="101" t="n"/>
      <c r="E379" s="100" t="n"/>
      <c r="F379" s="100" t="n"/>
    </row>
    <row r="380" ht="15" customHeight="1" s="52">
      <c r="A380" s="102" t="n"/>
      <c r="B380" s="100" t="n"/>
      <c r="C380" s="100" t="n"/>
      <c r="D380" s="101" t="n"/>
      <c r="E380" s="100" t="n"/>
      <c r="F380" s="100" t="n"/>
    </row>
    <row r="381" ht="15" customHeight="1" s="52">
      <c r="A381" s="102" t="n"/>
      <c r="B381" s="100" t="n"/>
      <c r="C381" s="100" t="n"/>
      <c r="D381" s="101" t="n"/>
      <c r="E381" s="100" t="n"/>
      <c r="F381" s="100" t="n"/>
    </row>
    <row r="382" ht="15" customHeight="1" s="52">
      <c r="A382" s="102" t="n"/>
      <c r="B382" s="100" t="n"/>
      <c r="C382" s="100" t="n"/>
      <c r="D382" s="101" t="n"/>
      <c r="E382" s="100" t="n"/>
      <c r="F382" s="100" t="n"/>
    </row>
    <row r="383" ht="15" customHeight="1" s="52">
      <c r="A383" s="102" t="n"/>
      <c r="B383" s="100" t="n"/>
      <c r="C383" s="100" t="n"/>
      <c r="D383" s="101" t="n"/>
      <c r="E383" s="100" t="n"/>
      <c r="F383" s="100" t="n"/>
    </row>
    <row r="384" ht="15" customHeight="1" s="52">
      <c r="A384" s="102" t="n"/>
      <c r="B384" s="100" t="n"/>
      <c r="C384" s="100" t="n"/>
      <c r="D384" s="101" t="n"/>
      <c r="E384" s="100" t="n"/>
      <c r="F384" s="100" t="n"/>
    </row>
    <row r="385" ht="15" customHeight="1" s="52">
      <c r="A385" s="102" t="n"/>
      <c r="B385" s="100" t="n"/>
      <c r="C385" s="100" t="n"/>
      <c r="D385" s="101" t="n"/>
      <c r="E385" s="100" t="n"/>
      <c r="F385" s="100" t="n"/>
    </row>
    <row r="386" ht="15" customHeight="1" s="52">
      <c r="A386" s="102" t="n"/>
      <c r="B386" s="100" t="n"/>
      <c r="C386" s="100" t="n"/>
      <c r="D386" s="101" t="n"/>
      <c r="E386" s="100" t="n"/>
      <c r="F386" s="100" t="n"/>
    </row>
    <row r="387" ht="15" customHeight="1" s="52">
      <c r="A387" s="102" t="n"/>
      <c r="B387" s="100" t="n"/>
      <c r="C387" s="100" t="n"/>
      <c r="D387" s="101" t="n"/>
      <c r="E387" s="100" t="n"/>
      <c r="F387" s="100" t="n"/>
    </row>
    <row r="388" ht="15" customHeight="1" s="52">
      <c r="A388" s="102" t="n"/>
      <c r="B388" s="100" t="n"/>
      <c r="C388" s="100" t="n"/>
      <c r="D388" s="101" t="n"/>
      <c r="E388" s="100" t="n"/>
      <c r="F388" s="100" t="n"/>
    </row>
    <row r="389" ht="15" customHeight="1" s="52">
      <c r="A389" s="102" t="n"/>
      <c r="B389" s="100" t="n"/>
      <c r="C389" s="100" t="n"/>
      <c r="D389" s="101" t="n"/>
      <c r="E389" s="100" t="n"/>
      <c r="F389" s="100" t="n"/>
    </row>
    <row r="390" ht="15" customHeight="1" s="52">
      <c r="A390" s="102" t="n"/>
      <c r="B390" s="100" t="n"/>
      <c r="C390" s="100" t="n"/>
      <c r="D390" s="101" t="n"/>
      <c r="E390" s="100" t="n"/>
      <c r="F390" s="100" t="n"/>
    </row>
    <row r="391" ht="15" customHeight="1" s="52">
      <c r="A391" s="102" t="n"/>
      <c r="B391" s="100" t="n"/>
      <c r="C391" s="100" t="n"/>
      <c r="D391" s="101" t="n"/>
      <c r="E391" s="100" t="n"/>
      <c r="F391" s="100" t="n"/>
    </row>
    <row r="392" ht="15" customHeight="1" s="52">
      <c r="A392" s="102" t="n"/>
      <c r="B392" s="100" t="n"/>
      <c r="C392" s="100" t="n"/>
      <c r="D392" s="101" t="n"/>
      <c r="E392" s="100" t="n"/>
      <c r="F392" s="100" t="n"/>
    </row>
    <row r="393" ht="15" customHeight="1" s="52">
      <c r="A393" s="102" t="n"/>
      <c r="B393" s="100" t="n"/>
      <c r="C393" s="100" t="n"/>
      <c r="D393" s="101" t="n"/>
      <c r="E393" s="100" t="n"/>
      <c r="F393" s="100" t="n"/>
    </row>
    <row r="394" ht="15" customHeight="1" s="52">
      <c r="A394" s="102" t="n"/>
      <c r="B394" s="100" t="n"/>
      <c r="C394" s="100" t="n"/>
      <c r="D394" s="101" t="n"/>
      <c r="E394" s="100" t="n"/>
      <c r="F394" s="100" t="n"/>
    </row>
    <row r="395" ht="15" customHeight="1" s="52">
      <c r="A395" s="102" t="n"/>
      <c r="B395" s="100" t="n"/>
      <c r="C395" s="100" t="n"/>
      <c r="D395" s="101" t="n"/>
      <c r="E395" s="100" t="n"/>
      <c r="F395" s="100" t="n"/>
    </row>
    <row r="396" ht="15" customHeight="1" s="52">
      <c r="A396" s="102" t="n"/>
      <c r="B396" s="100" t="n"/>
      <c r="C396" s="100" t="n"/>
      <c r="D396" s="101" t="n"/>
      <c r="E396" s="100" t="n"/>
      <c r="F396" s="100" t="n"/>
    </row>
    <row r="397" ht="15" customHeight="1" s="52">
      <c r="A397" s="102" t="n"/>
      <c r="B397" s="100" t="n"/>
      <c r="C397" s="100" t="n"/>
      <c r="D397" s="101" t="n"/>
      <c r="E397" s="100" t="n"/>
      <c r="F397" s="100" t="n"/>
    </row>
    <row r="398" ht="15" customHeight="1" s="52">
      <c r="A398" s="102" t="n"/>
      <c r="B398" s="100" t="n"/>
      <c r="C398" s="100" t="n"/>
      <c r="D398" s="101" t="n"/>
      <c r="E398" s="100" t="n"/>
      <c r="F398" s="100" t="n"/>
    </row>
    <row r="399" ht="15" customHeight="1" s="52">
      <c r="A399" s="102" t="n"/>
      <c r="B399" s="100" t="n"/>
      <c r="C399" s="100" t="n"/>
      <c r="D399" s="101" t="n"/>
      <c r="E399" s="100" t="n"/>
      <c r="F399" s="100" t="n"/>
    </row>
    <row r="400" ht="15" customHeight="1" s="52">
      <c r="A400" s="102" t="n"/>
      <c r="B400" s="100" t="n"/>
      <c r="C400" s="100" t="n"/>
      <c r="D400" s="101" t="n"/>
      <c r="E400" s="100" t="n"/>
      <c r="F400" s="100" t="n"/>
    </row>
    <row r="401" ht="15" customHeight="1" s="52">
      <c r="A401" s="102" t="n"/>
      <c r="B401" s="100" t="n"/>
      <c r="C401" s="100" t="n"/>
      <c r="D401" s="101" t="n"/>
      <c r="E401" s="100" t="n"/>
      <c r="F401" s="100" t="n"/>
    </row>
    <row r="402" ht="15" customHeight="1" s="52">
      <c r="A402" s="102" t="n"/>
      <c r="B402" s="100" t="n"/>
      <c r="C402" s="100" t="n"/>
      <c r="D402" s="101" t="n"/>
      <c r="E402" s="100" t="n"/>
      <c r="F402" s="100" t="n"/>
    </row>
    <row r="403" ht="15" customHeight="1" s="52">
      <c r="A403" s="102" t="n"/>
      <c r="B403" s="100" t="n"/>
      <c r="C403" s="100" t="n"/>
      <c r="D403" s="101" t="n"/>
      <c r="E403" s="100" t="n"/>
      <c r="F403" s="100" t="n"/>
    </row>
    <row r="404" ht="15" customHeight="1" s="52">
      <c r="A404" s="102" t="n"/>
      <c r="B404" s="100" t="n"/>
      <c r="C404" s="100" t="n"/>
      <c r="D404" s="101" t="n"/>
      <c r="E404" s="100" t="n"/>
      <c r="F404" s="100" t="n"/>
    </row>
    <row r="405" ht="15" customHeight="1" s="52">
      <c r="A405" s="102" t="n"/>
      <c r="B405" s="100" t="n"/>
      <c r="C405" s="100" t="n"/>
      <c r="D405" s="101" t="n"/>
      <c r="E405" s="100" t="n"/>
      <c r="F405" s="100" t="n"/>
    </row>
    <row r="406" ht="15" customHeight="1" s="52">
      <c r="A406" s="102" t="n"/>
      <c r="B406" s="100" t="n"/>
      <c r="C406" s="100" t="n"/>
      <c r="D406" s="101" t="n"/>
      <c r="E406" s="100" t="n"/>
      <c r="F406" s="100" t="n"/>
    </row>
    <row r="407" ht="15" customHeight="1" s="52">
      <c r="A407" s="102" t="n"/>
      <c r="B407" s="100" t="n"/>
      <c r="C407" s="100" t="n"/>
      <c r="D407" s="101" t="n"/>
      <c r="E407" s="100" t="n"/>
      <c r="F407" s="100" t="n"/>
    </row>
    <row r="408" ht="15" customHeight="1" s="52">
      <c r="A408" s="102" t="n"/>
      <c r="B408" s="100" t="n"/>
      <c r="C408" s="100" t="n"/>
      <c r="D408" s="101" t="n"/>
      <c r="E408" s="100" t="n"/>
      <c r="F408" s="100" t="n"/>
    </row>
    <row r="409" ht="15" customHeight="1" s="52">
      <c r="A409" s="102" t="n"/>
      <c r="B409" s="100" t="n"/>
      <c r="C409" s="100" t="n"/>
      <c r="D409" s="101" t="n"/>
      <c r="E409" s="100" t="n"/>
      <c r="F409" s="100" t="n"/>
    </row>
    <row r="410" ht="15" customHeight="1" s="52">
      <c r="A410" s="102" t="n"/>
      <c r="B410" s="100" t="n"/>
      <c r="C410" s="100" t="n"/>
      <c r="D410" s="101" t="n"/>
      <c r="E410" s="100" t="n"/>
      <c r="F410" s="100" t="n"/>
    </row>
    <row r="411" ht="15" customHeight="1" s="52">
      <c r="A411" s="102" t="n"/>
      <c r="B411" s="100" t="n"/>
      <c r="C411" s="100" t="n"/>
      <c r="D411" s="101" t="n"/>
      <c r="E411" s="100" t="n"/>
      <c r="F411" s="100" t="n"/>
    </row>
    <row r="412" ht="15" customHeight="1" s="52">
      <c r="A412" s="102" t="n"/>
      <c r="B412" s="100" t="n"/>
      <c r="C412" s="100" t="n"/>
      <c r="D412" s="101" t="n"/>
      <c r="E412" s="100" t="n"/>
      <c r="F412" s="100" t="n"/>
    </row>
    <row r="413" ht="15" customHeight="1" s="52">
      <c r="A413" s="102" t="n"/>
      <c r="B413" s="100" t="n"/>
      <c r="C413" s="100" t="n"/>
      <c r="D413" s="101" t="n"/>
      <c r="E413" s="100" t="n"/>
      <c r="F413" s="100" t="n"/>
    </row>
    <row r="414" ht="15" customHeight="1" s="52">
      <c r="A414" s="102" t="n"/>
      <c r="B414" s="100" t="n"/>
      <c r="C414" s="100" t="n"/>
      <c r="D414" s="101" t="n"/>
      <c r="E414" s="100" t="n"/>
      <c r="F414" s="100" t="n"/>
    </row>
    <row r="415" ht="15" customHeight="1" s="52">
      <c r="A415" s="102" t="n"/>
      <c r="B415" s="100" t="n"/>
      <c r="C415" s="100" t="n"/>
      <c r="D415" s="101" t="n"/>
      <c r="E415" s="100" t="n"/>
      <c r="F415" s="100" t="n"/>
    </row>
    <row r="416" ht="15" customHeight="1" s="52">
      <c r="A416" s="102" t="n"/>
      <c r="B416" s="100" t="n"/>
      <c r="C416" s="100" t="n"/>
      <c r="D416" s="101" t="n"/>
      <c r="E416" s="100" t="n"/>
      <c r="F416" s="100" t="n"/>
    </row>
    <row r="417" ht="15" customHeight="1" s="52">
      <c r="A417" s="102" t="n"/>
      <c r="B417" s="100" t="n"/>
      <c r="C417" s="100" t="n"/>
      <c r="D417" s="101" t="n"/>
      <c r="E417" s="100" t="n"/>
      <c r="F417" s="100" t="n"/>
    </row>
    <row r="418" ht="15" customHeight="1" s="52">
      <c r="A418" s="102" t="n"/>
      <c r="B418" s="100" t="n"/>
      <c r="C418" s="100" t="n"/>
      <c r="D418" s="101" t="n"/>
      <c r="E418" s="100" t="n"/>
      <c r="F418" s="100" t="n"/>
    </row>
    <row r="419" ht="15" customHeight="1" s="52">
      <c r="A419" s="102" t="n"/>
      <c r="B419" s="100" t="n"/>
      <c r="C419" s="100" t="n"/>
      <c r="D419" s="101" t="n"/>
      <c r="E419" s="100" t="n"/>
      <c r="F419" s="100" t="n"/>
    </row>
    <row r="420" ht="15" customHeight="1" s="52">
      <c r="A420" s="102" t="n"/>
      <c r="B420" s="100" t="n"/>
      <c r="C420" s="100" t="n"/>
      <c r="D420" s="101" t="n"/>
      <c r="E420" s="100" t="n"/>
      <c r="F420" s="100" t="n"/>
    </row>
    <row r="421" ht="15" customHeight="1" s="52">
      <c r="A421" s="102" t="n"/>
      <c r="B421" s="100" t="n"/>
      <c r="C421" s="100" t="n"/>
      <c r="D421" s="101" t="n"/>
      <c r="E421" s="100" t="n"/>
      <c r="F421" s="100" t="n"/>
    </row>
    <row r="422" ht="15" customHeight="1" s="52">
      <c r="A422" s="102" t="n"/>
      <c r="B422" s="100" t="n"/>
      <c r="C422" s="100" t="n"/>
      <c r="D422" s="101" t="n"/>
      <c r="E422" s="100" t="n"/>
      <c r="F422" s="100" t="n"/>
    </row>
    <row r="423" ht="15" customHeight="1" s="52">
      <c r="A423" s="102" t="n"/>
      <c r="B423" s="100" t="n"/>
      <c r="C423" s="100" t="n"/>
      <c r="D423" s="101" t="n"/>
      <c r="E423" s="100" t="n"/>
      <c r="F423" s="100" t="n"/>
    </row>
    <row r="424" ht="15" customHeight="1" s="52">
      <c r="A424" s="102" t="n"/>
      <c r="B424" s="100" t="n"/>
      <c r="C424" s="100" t="n"/>
      <c r="D424" s="101" t="n"/>
      <c r="E424" s="100" t="n"/>
      <c r="F424" s="100" t="n"/>
    </row>
    <row r="425" ht="15" customHeight="1" s="52">
      <c r="A425" s="102" t="n"/>
      <c r="B425" s="100" t="n"/>
      <c r="C425" s="100" t="n"/>
      <c r="D425" s="101" t="n"/>
      <c r="E425" s="100" t="n"/>
      <c r="F425" s="100" t="n"/>
    </row>
    <row r="426" ht="15" customHeight="1" s="52">
      <c r="A426" s="102" t="n"/>
      <c r="B426" s="100" t="n"/>
      <c r="C426" s="100" t="n"/>
      <c r="D426" s="101" t="n"/>
      <c r="E426" s="100" t="n"/>
      <c r="F426" s="100" t="n"/>
    </row>
    <row r="427" ht="15" customHeight="1" s="52">
      <c r="A427" s="102" t="n"/>
      <c r="B427" s="100" t="n"/>
      <c r="C427" s="100" t="n"/>
      <c r="D427" s="101" t="n"/>
      <c r="E427" s="100" t="n"/>
      <c r="F427" s="100" t="n"/>
    </row>
    <row r="428" ht="15" customHeight="1" s="52">
      <c r="A428" s="102" t="n"/>
      <c r="B428" s="100" t="n"/>
      <c r="C428" s="100" t="n"/>
      <c r="D428" s="101" t="n"/>
      <c r="E428" s="100" t="n"/>
      <c r="F428" s="100" t="n"/>
    </row>
    <row r="429" ht="15" customHeight="1" s="52">
      <c r="A429" s="102" t="n"/>
      <c r="B429" s="100" t="n"/>
      <c r="C429" s="100" t="n"/>
      <c r="D429" s="101" t="n"/>
      <c r="E429" s="100" t="n"/>
      <c r="F429" s="100" t="n"/>
    </row>
    <row r="430" ht="15" customHeight="1" s="52">
      <c r="A430" s="102" t="n"/>
      <c r="B430" s="100" t="n"/>
      <c r="C430" s="100" t="n"/>
      <c r="D430" s="101" t="n"/>
      <c r="E430" s="100" t="n"/>
      <c r="F430" s="100" t="n"/>
    </row>
    <row r="431" ht="15" customHeight="1" s="52">
      <c r="A431" s="102" t="n"/>
      <c r="B431" s="100" t="n"/>
      <c r="C431" s="100" t="n"/>
      <c r="D431" s="101" t="n"/>
      <c r="E431" s="100" t="n"/>
      <c r="F431" s="100" t="n"/>
    </row>
    <row r="432" ht="15" customHeight="1" s="52">
      <c r="A432" s="102" t="n"/>
      <c r="B432" s="100" t="n"/>
      <c r="C432" s="100" t="n"/>
      <c r="D432" s="101" t="n"/>
      <c r="E432" s="100" t="n"/>
      <c r="F432" s="100" t="n"/>
    </row>
    <row r="433" ht="15" customHeight="1" s="52">
      <c r="A433" s="102" t="n"/>
      <c r="B433" s="100" t="n"/>
      <c r="C433" s="100" t="n"/>
      <c r="D433" s="101" t="n"/>
      <c r="E433" s="100" t="n"/>
      <c r="F433" s="100" t="n"/>
    </row>
    <row r="434" ht="15" customHeight="1" s="52">
      <c r="A434" s="102" t="n"/>
      <c r="B434" s="100" t="n"/>
      <c r="C434" s="100" t="n"/>
      <c r="D434" s="101" t="n"/>
      <c r="E434" s="100" t="n"/>
      <c r="F434" s="100" t="n"/>
    </row>
    <row r="435" ht="15" customHeight="1" s="52">
      <c r="A435" s="102" t="n"/>
      <c r="B435" s="100" t="n"/>
      <c r="C435" s="100" t="n"/>
      <c r="D435" s="101" t="n"/>
      <c r="E435" s="100" t="n"/>
      <c r="F435" s="100" t="n"/>
    </row>
    <row r="436" ht="15" customHeight="1" s="52">
      <c r="A436" s="102" t="n"/>
      <c r="B436" s="100" t="n"/>
      <c r="C436" s="100" t="n"/>
      <c r="D436" s="101" t="n"/>
      <c r="E436" s="100" t="n"/>
      <c r="F436" s="100" t="n"/>
    </row>
    <row r="437" ht="15" customHeight="1" s="52">
      <c r="A437" s="102" t="n"/>
      <c r="B437" s="100" t="n"/>
      <c r="C437" s="100" t="n"/>
      <c r="D437" s="101" t="n"/>
      <c r="E437" s="100" t="n"/>
      <c r="F437" s="100" t="n"/>
    </row>
    <row r="438" ht="15" customHeight="1" s="52">
      <c r="A438" s="102" t="n"/>
      <c r="B438" s="100" t="n"/>
      <c r="C438" s="100" t="n"/>
      <c r="D438" s="101" t="n"/>
      <c r="E438" s="100" t="n"/>
      <c r="F438" s="100" t="n"/>
    </row>
    <row r="439" ht="15" customHeight="1" s="52">
      <c r="A439" s="102" t="n"/>
      <c r="B439" s="100" t="n"/>
      <c r="C439" s="100" t="n"/>
      <c r="D439" s="101" t="n"/>
      <c r="E439" s="100" t="n"/>
      <c r="F439" s="100" t="n"/>
    </row>
    <row r="440" ht="15" customHeight="1" s="52">
      <c r="A440" s="102" t="n"/>
      <c r="B440" s="100" t="n"/>
      <c r="C440" s="100" t="n"/>
      <c r="D440" s="101" t="n"/>
      <c r="E440" s="100" t="n"/>
      <c r="F440" s="100" t="n"/>
    </row>
    <row r="441" ht="15" customHeight="1" s="52">
      <c r="A441" s="102" t="n"/>
      <c r="B441" s="100" t="n"/>
      <c r="C441" s="100" t="n"/>
      <c r="D441" s="101" t="n"/>
      <c r="E441" s="100" t="n"/>
      <c r="F441" s="100" t="n"/>
    </row>
    <row r="442" ht="15" customHeight="1" s="52">
      <c r="A442" s="102" t="n"/>
      <c r="B442" s="100" t="n"/>
      <c r="C442" s="100" t="n"/>
      <c r="D442" s="101" t="n"/>
      <c r="E442" s="100" t="n"/>
      <c r="F442" s="100" t="n"/>
    </row>
    <row r="443" ht="15" customHeight="1" s="52">
      <c r="A443" s="102" t="n"/>
      <c r="B443" s="100" t="n"/>
      <c r="C443" s="100" t="n"/>
      <c r="D443" s="101" t="n"/>
      <c r="E443" s="100" t="n"/>
      <c r="F443" s="100" t="n"/>
    </row>
    <row r="444" ht="15" customHeight="1" s="52">
      <c r="A444" s="102" t="n"/>
      <c r="B444" s="100" t="n"/>
      <c r="C444" s="100" t="n"/>
      <c r="D444" s="101" t="n"/>
      <c r="E444" s="100" t="n"/>
      <c r="F444" s="100" t="n"/>
    </row>
    <row r="445" ht="15" customHeight="1" s="52">
      <c r="A445" s="102" t="n"/>
      <c r="B445" s="100" t="n"/>
      <c r="C445" s="100" t="n"/>
      <c r="D445" s="101" t="n"/>
      <c r="E445" s="100" t="n"/>
      <c r="F445" s="100" t="n"/>
    </row>
    <row r="446" ht="15" customHeight="1" s="52">
      <c r="A446" s="102" t="n"/>
      <c r="B446" s="100" t="n"/>
      <c r="C446" s="100" t="n"/>
      <c r="D446" s="101" t="n"/>
      <c r="E446" s="100" t="n"/>
      <c r="F446" s="100" t="n"/>
    </row>
    <row r="447" ht="15" customHeight="1" s="52">
      <c r="A447" s="102" t="n"/>
      <c r="B447" s="100" t="n"/>
      <c r="C447" s="100" t="n"/>
      <c r="D447" s="101" t="n"/>
      <c r="E447" s="100" t="n"/>
      <c r="F447" s="100" t="n"/>
    </row>
    <row r="448" ht="15" customHeight="1" s="52">
      <c r="A448" s="102" t="n"/>
      <c r="B448" s="100" t="n"/>
      <c r="C448" s="100" t="n"/>
      <c r="D448" s="101" t="n"/>
      <c r="E448" s="100" t="n"/>
      <c r="F448" s="100" t="n"/>
    </row>
    <row r="449" ht="15" customHeight="1" s="52">
      <c r="A449" s="102" t="n"/>
      <c r="B449" s="100" t="n"/>
      <c r="C449" s="100" t="n"/>
      <c r="D449" s="101" t="n"/>
      <c r="E449" s="100" t="n"/>
      <c r="F449" s="100" t="n"/>
    </row>
    <row r="450" ht="15" customHeight="1" s="52">
      <c r="A450" s="102" t="n"/>
      <c r="B450" s="100" t="n"/>
      <c r="C450" s="100" t="n"/>
      <c r="D450" s="101" t="n"/>
      <c r="E450" s="100" t="n"/>
      <c r="F450" s="100" t="n"/>
    </row>
    <row r="451" ht="15" customHeight="1" s="52">
      <c r="A451" s="102" t="n"/>
      <c r="B451" s="100" t="n"/>
      <c r="C451" s="100" t="n"/>
      <c r="D451" s="101" t="n"/>
      <c r="E451" s="100" t="n"/>
      <c r="F451" s="100" t="n"/>
    </row>
    <row r="452" ht="15" customHeight="1" s="52">
      <c r="A452" s="102" t="n"/>
      <c r="B452" s="100" t="n"/>
      <c r="C452" s="100" t="n"/>
      <c r="D452" s="101" t="n"/>
      <c r="E452" s="100" t="n"/>
      <c r="F452" s="100" t="n"/>
    </row>
    <row r="453" ht="15" customHeight="1" s="52">
      <c r="A453" s="102" t="n"/>
      <c r="B453" s="100" t="n"/>
      <c r="C453" s="100" t="n"/>
      <c r="D453" s="101" t="n"/>
      <c r="E453" s="100" t="n"/>
      <c r="F453" s="100" t="n"/>
    </row>
    <row r="454" ht="15" customHeight="1" s="52">
      <c r="A454" s="102" t="n"/>
      <c r="B454" s="100" t="n"/>
      <c r="C454" s="100" t="n"/>
      <c r="D454" s="101" t="n"/>
      <c r="E454" s="100" t="n"/>
      <c r="F454" s="100" t="n"/>
    </row>
    <row r="455" ht="15" customHeight="1" s="52">
      <c r="A455" s="102" t="n"/>
      <c r="B455" s="100" t="n"/>
      <c r="C455" s="100" t="n"/>
      <c r="D455" s="101" t="n"/>
      <c r="E455" s="100" t="n"/>
      <c r="F455" s="100" t="n"/>
    </row>
    <row r="456" ht="15" customHeight="1" s="52">
      <c r="A456" s="102" t="n"/>
      <c r="B456" s="100" t="n"/>
      <c r="C456" s="100" t="n"/>
      <c r="D456" s="101" t="n"/>
      <c r="E456" s="100" t="n"/>
      <c r="F456" s="100" t="n"/>
    </row>
    <row r="457" ht="15" customHeight="1" s="52">
      <c r="A457" s="102" t="n"/>
      <c r="B457" s="100" t="n"/>
      <c r="C457" s="100" t="n"/>
      <c r="D457" s="101" t="n"/>
      <c r="E457" s="100" t="n"/>
      <c r="F457" s="100" t="n"/>
    </row>
    <row r="458" ht="15" customHeight="1" s="52">
      <c r="A458" s="102" t="n"/>
      <c r="B458" s="100" t="n"/>
      <c r="C458" s="100" t="n"/>
      <c r="D458" s="101" t="n"/>
      <c r="E458" s="100" t="n"/>
      <c r="F458" s="100" t="n"/>
    </row>
    <row r="459" ht="15" customHeight="1" s="52">
      <c r="A459" s="102" t="n"/>
      <c r="B459" s="100" t="n"/>
      <c r="C459" s="100" t="n"/>
      <c r="D459" s="101" t="n"/>
      <c r="E459" s="100" t="n"/>
      <c r="F459" s="100" t="n"/>
    </row>
    <row r="460" ht="15" customHeight="1" s="52">
      <c r="A460" s="102" t="n"/>
      <c r="B460" s="100" t="n"/>
      <c r="C460" s="100" t="n"/>
      <c r="D460" s="101" t="n"/>
      <c r="E460" s="100" t="n"/>
      <c r="F460" s="100" t="n"/>
    </row>
    <row r="461" ht="15" customHeight="1" s="52">
      <c r="A461" s="102" t="n"/>
      <c r="B461" s="100" t="n"/>
      <c r="C461" s="100" t="n"/>
      <c r="D461" s="101" t="n"/>
      <c r="E461" s="100" t="n"/>
      <c r="F461" s="100" t="n"/>
    </row>
    <row r="462" ht="15" customHeight="1" s="52">
      <c r="A462" s="102" t="n"/>
      <c r="B462" s="100" t="n"/>
      <c r="C462" s="100" t="n"/>
      <c r="D462" s="101" t="n"/>
      <c r="E462" s="100" t="n"/>
      <c r="F462" s="100" t="n"/>
    </row>
    <row r="463" ht="15" customHeight="1" s="52">
      <c r="A463" s="102" t="n"/>
      <c r="B463" s="100" t="n"/>
      <c r="C463" s="100" t="n"/>
      <c r="D463" s="101" t="n"/>
      <c r="E463" s="100" t="n"/>
      <c r="F463" s="100" t="n"/>
    </row>
    <row r="464" ht="15" customHeight="1" s="52">
      <c r="A464" s="102" t="n"/>
      <c r="B464" s="100" t="n"/>
      <c r="C464" s="100" t="n"/>
      <c r="D464" s="101" t="n"/>
      <c r="E464" s="100" t="n"/>
      <c r="F464" s="100" t="n"/>
    </row>
    <row r="465" ht="15" customHeight="1" s="52">
      <c r="A465" s="102" t="n"/>
      <c r="B465" s="100" t="n"/>
      <c r="C465" s="100" t="n"/>
      <c r="D465" s="101" t="n"/>
      <c r="E465" s="100" t="n"/>
      <c r="F465" s="100" t="n"/>
    </row>
    <row r="466" ht="15" customHeight="1" s="52">
      <c r="A466" s="102" t="n"/>
      <c r="B466" s="100" t="n"/>
      <c r="C466" s="100" t="n"/>
      <c r="D466" s="101" t="n"/>
      <c r="E466" s="100" t="n"/>
      <c r="F466" s="100" t="n"/>
    </row>
    <row r="467" ht="15" customHeight="1" s="52">
      <c r="A467" s="102" t="n"/>
      <c r="B467" s="100" t="n"/>
      <c r="C467" s="100" t="n"/>
      <c r="D467" s="101" t="n"/>
      <c r="E467" s="100" t="n"/>
      <c r="F467" s="100" t="n"/>
    </row>
    <row r="468" ht="15" customHeight="1" s="52">
      <c r="A468" s="102" t="n"/>
      <c r="B468" s="100" t="n"/>
      <c r="C468" s="100" t="n"/>
      <c r="D468" s="101" t="n"/>
      <c r="E468" s="100" t="n"/>
      <c r="F468" s="100" t="n"/>
    </row>
    <row r="469" ht="15" customHeight="1" s="52">
      <c r="A469" s="102" t="n"/>
      <c r="B469" s="100" t="n"/>
      <c r="C469" s="100" t="n"/>
      <c r="D469" s="101" t="n"/>
      <c r="E469" s="100" t="n"/>
      <c r="F469" s="100" t="n"/>
    </row>
    <row r="470" ht="15" customHeight="1" s="52">
      <c r="A470" s="102" t="n"/>
      <c r="B470" s="100" t="n"/>
      <c r="C470" s="100" t="n"/>
      <c r="D470" s="101" t="n"/>
      <c r="E470" s="100" t="n"/>
      <c r="F470" s="100" t="n"/>
    </row>
    <row r="471" ht="15" customHeight="1" s="52">
      <c r="A471" s="102" t="n"/>
      <c r="B471" s="100" t="n"/>
      <c r="C471" s="100" t="n"/>
      <c r="D471" s="101" t="n"/>
      <c r="E471" s="100" t="n"/>
      <c r="F471" s="100" t="n"/>
    </row>
    <row r="472" ht="15" customHeight="1" s="52">
      <c r="A472" s="102" t="n"/>
      <c r="B472" s="100" t="n"/>
      <c r="C472" s="100" t="n"/>
      <c r="D472" s="101" t="n"/>
      <c r="E472" s="100" t="n"/>
      <c r="F472" s="100" t="n"/>
    </row>
    <row r="473" ht="15" customHeight="1" s="52">
      <c r="A473" s="102" t="n"/>
      <c r="B473" s="100" t="n"/>
      <c r="C473" s="100" t="n"/>
      <c r="D473" s="101" t="n"/>
      <c r="E473" s="100" t="n"/>
      <c r="F473" s="100" t="n"/>
    </row>
    <row r="474" ht="15" customHeight="1" s="52">
      <c r="A474" s="102" t="n"/>
      <c r="B474" s="100" t="n"/>
      <c r="C474" s="100" t="n"/>
      <c r="D474" s="101" t="n"/>
      <c r="E474" s="100" t="n"/>
      <c r="F474" s="100" t="n"/>
    </row>
    <row r="475" ht="15" customHeight="1" s="52">
      <c r="A475" s="102" t="n"/>
      <c r="B475" s="100" t="n"/>
      <c r="C475" s="100" t="n"/>
      <c r="D475" s="101" t="n"/>
      <c r="E475" s="100" t="n"/>
      <c r="F475" s="100" t="n"/>
    </row>
    <row r="476" ht="15" customHeight="1" s="52">
      <c r="A476" s="102" t="n"/>
      <c r="B476" s="100" t="n"/>
      <c r="C476" s="100" t="n"/>
      <c r="D476" s="101" t="n"/>
      <c r="E476" s="100" t="n"/>
      <c r="F476" s="100" t="n"/>
    </row>
    <row r="477" ht="15" customHeight="1" s="52">
      <c r="A477" s="102" t="n"/>
      <c r="B477" s="100" t="n"/>
      <c r="C477" s="100" t="n"/>
      <c r="D477" s="101" t="n"/>
      <c r="E477" s="100" t="n"/>
      <c r="F477" s="100" t="n"/>
    </row>
    <row r="478" ht="15" customHeight="1" s="52">
      <c r="A478" s="102" t="n"/>
      <c r="B478" s="100" t="n"/>
      <c r="C478" s="100" t="n"/>
      <c r="D478" s="101" t="n"/>
      <c r="E478" s="100" t="n"/>
      <c r="F478" s="100" t="n"/>
    </row>
    <row r="479" ht="15" customHeight="1" s="52">
      <c r="A479" s="102" t="n"/>
      <c r="B479" s="100" t="n"/>
      <c r="C479" s="100" t="n"/>
      <c r="D479" s="101" t="n"/>
      <c r="E479" s="100" t="n"/>
      <c r="F479" s="100" t="n"/>
    </row>
    <row r="480" ht="15" customHeight="1" s="52">
      <c r="A480" s="102" t="n"/>
      <c r="B480" s="100" t="n"/>
      <c r="C480" s="100" t="n"/>
      <c r="D480" s="101" t="n"/>
      <c r="E480" s="100" t="n"/>
      <c r="F480" s="100" t="n"/>
    </row>
    <row r="481" ht="15" customHeight="1" s="52">
      <c r="A481" s="102" t="n"/>
      <c r="B481" s="100" t="n"/>
      <c r="C481" s="100" t="n"/>
      <c r="D481" s="101" t="n"/>
      <c r="E481" s="100" t="n"/>
      <c r="F481" s="100" t="n"/>
    </row>
    <row r="482" ht="15" customHeight="1" s="52">
      <c r="A482" s="102" t="n"/>
      <c r="B482" s="100" t="n"/>
      <c r="C482" s="100" t="n"/>
      <c r="D482" s="101" t="n"/>
      <c r="E482" s="100" t="n"/>
      <c r="F482" s="100" t="n"/>
    </row>
    <row r="483" ht="15" customHeight="1" s="52">
      <c r="A483" s="102" t="n"/>
      <c r="B483" s="100" t="n"/>
      <c r="C483" s="100" t="n"/>
      <c r="D483" s="101" t="n"/>
      <c r="E483" s="100" t="n"/>
      <c r="F483" s="100" t="n"/>
    </row>
    <row r="484" ht="15" customHeight="1" s="52">
      <c r="A484" s="102" t="n"/>
      <c r="B484" s="100" t="n"/>
      <c r="C484" s="100" t="n"/>
      <c r="D484" s="101" t="n"/>
      <c r="E484" s="100" t="n"/>
      <c r="F484" s="100" t="n"/>
    </row>
    <row r="485" ht="15" customHeight="1" s="52">
      <c r="A485" s="102" t="n"/>
      <c r="B485" s="100" t="n"/>
      <c r="C485" s="100" t="n"/>
      <c r="D485" s="101" t="n"/>
      <c r="E485" s="100" t="n"/>
      <c r="F485" s="100" t="n"/>
    </row>
    <row r="486" ht="15" customHeight="1" s="52">
      <c r="A486" s="102" t="n"/>
      <c r="B486" s="100" t="n"/>
      <c r="C486" s="100" t="n"/>
      <c r="D486" s="101" t="n"/>
      <c r="E486" s="100" t="n"/>
      <c r="F486" s="100" t="n"/>
    </row>
    <row r="487" ht="15" customHeight="1" s="52">
      <c r="A487" s="102" t="n"/>
      <c r="B487" s="100" t="n"/>
      <c r="C487" s="100" t="n"/>
      <c r="D487" s="101" t="n"/>
      <c r="E487" s="100" t="n"/>
      <c r="F487" s="100" t="n"/>
    </row>
    <row r="488" ht="15" customHeight="1" s="52">
      <c r="A488" s="102" t="n"/>
      <c r="B488" s="100" t="n"/>
      <c r="C488" s="100" t="n"/>
      <c r="D488" s="101" t="n"/>
      <c r="E488" s="100" t="n"/>
      <c r="F488" s="100" t="n"/>
    </row>
    <row r="489" ht="15" customHeight="1" s="52">
      <c r="A489" s="102" t="n"/>
      <c r="B489" s="100" t="n"/>
      <c r="C489" s="100" t="n"/>
      <c r="D489" s="101" t="n"/>
      <c r="E489" s="100" t="n"/>
      <c r="F489" s="100" t="n"/>
    </row>
    <row r="490" ht="15" customHeight="1" s="52">
      <c r="A490" s="102" t="n"/>
      <c r="B490" s="100" t="n"/>
      <c r="C490" s="100" t="n"/>
      <c r="D490" s="101" t="n"/>
      <c r="E490" s="100" t="n"/>
      <c r="F490" s="100" t="n"/>
    </row>
    <row r="491" ht="15" customHeight="1" s="52">
      <c r="A491" s="102" t="n"/>
      <c r="B491" s="100" t="n"/>
      <c r="C491" s="100" t="n"/>
      <c r="D491" s="101" t="n"/>
      <c r="E491" s="100" t="n"/>
      <c r="F491" s="100" t="n"/>
    </row>
    <row r="492" ht="15" customHeight="1" s="52">
      <c r="A492" s="102" t="n"/>
      <c r="B492" s="100" t="n"/>
      <c r="C492" s="100" t="n"/>
      <c r="D492" s="101" t="n"/>
      <c r="E492" s="100" t="n"/>
      <c r="F492" s="100" t="n"/>
    </row>
    <row r="493" ht="15" customHeight="1" s="52">
      <c r="A493" s="102" t="n"/>
      <c r="B493" s="100" t="n"/>
      <c r="C493" s="100" t="n"/>
      <c r="D493" s="101" t="n"/>
      <c r="E493" s="100" t="n"/>
      <c r="F493" s="100" t="n"/>
    </row>
    <row r="494" ht="15" customHeight="1" s="52">
      <c r="A494" s="102" t="n"/>
      <c r="B494" s="100" t="n"/>
      <c r="C494" s="100" t="n"/>
      <c r="D494" s="101" t="n"/>
      <c r="E494" s="100" t="n"/>
      <c r="F494" s="100" t="n"/>
    </row>
    <row r="495" ht="15" customHeight="1" s="52">
      <c r="A495" s="102" t="n"/>
      <c r="B495" s="100" t="n"/>
      <c r="C495" s="100" t="n"/>
      <c r="D495" s="101" t="n"/>
      <c r="E495" s="100" t="n"/>
      <c r="F495" s="100" t="n"/>
    </row>
    <row r="496" ht="15" customHeight="1" s="52">
      <c r="A496" s="102" t="n"/>
      <c r="B496" s="100" t="n"/>
      <c r="C496" s="100" t="n"/>
      <c r="D496" s="101" t="n"/>
      <c r="E496" s="100" t="n"/>
      <c r="F496" s="100" t="n"/>
    </row>
    <row r="497" ht="15" customHeight="1" s="52">
      <c r="A497" s="102" t="n"/>
      <c r="B497" s="100" t="n"/>
      <c r="C497" s="100" t="n"/>
      <c r="D497" s="101" t="n"/>
      <c r="E497" s="100" t="n"/>
      <c r="F497" s="100" t="n"/>
    </row>
    <row r="498" ht="15" customHeight="1" s="52">
      <c r="A498" s="102" t="n"/>
      <c r="B498" s="100" t="n"/>
      <c r="C498" s="100" t="n"/>
      <c r="D498" s="101" t="n"/>
      <c r="E498" s="100" t="n"/>
      <c r="F498" s="100" t="n"/>
    </row>
    <row r="499" ht="15" customHeight="1" s="52">
      <c r="A499" s="102" t="n"/>
      <c r="B499" s="100" t="n"/>
      <c r="C499" s="100" t="n"/>
      <c r="D499" s="101" t="n"/>
      <c r="E499" s="100" t="n"/>
      <c r="F499" s="100" t="n"/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G4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24" customWidth="1" style="51" min="2" max="3"/>
    <col width="16" customWidth="1" style="51" min="4" max="4"/>
    <col width="30" customWidth="1" style="51" min="5" max="5"/>
    <col width="28" customWidth="1" style="51" min="6" max="6"/>
    <col width="14" customWidth="1" style="51" min="7" max="7"/>
  </cols>
  <sheetData>
    <row r="1" ht="27.75" customHeight="1" s="52">
      <c r="A1" s="53" t="inlineStr">
        <is>
          <t xml:space="preserve">  MEETINGS LOG  —  All capture, sync, intro &amp; post-award meetings</t>
        </is>
      </c>
    </row>
    <row r="2" ht="21.75" customHeight="1" s="52">
      <c r="A2" s="54" t="inlineStr">
        <is>
          <t xml:space="preserve">  Target: 2 meetings/week. Type values: Intro | Sync | Capture | Post-Award | Internal | Customer</t>
        </is>
      </c>
    </row>
    <row r="3"/>
    <row r="4" ht="30" customHeight="1" s="52">
      <c r="A4" s="64" t="inlineStr">
        <is>
          <t>Date</t>
        </is>
      </c>
      <c r="B4" s="64" t="inlineStr">
        <is>
          <t>Partner / Entity</t>
        </is>
      </c>
      <c r="C4" s="64" t="inlineStr">
        <is>
          <t>Attendees (VBX side)</t>
        </is>
      </c>
      <c r="D4" s="64" t="inlineStr">
        <is>
          <t>Type</t>
        </is>
      </c>
      <c r="E4" s="64" t="inlineStr">
        <is>
          <t>Outcome / Notes</t>
        </is>
      </c>
      <c r="F4" s="64" t="inlineStr">
        <is>
          <t>Next Step</t>
        </is>
      </c>
      <c r="G4" s="64" t="inlineStr">
        <is>
          <t>Owner</t>
        </is>
      </c>
    </row>
    <row r="5" ht="34.5" customHeight="1" s="52">
      <c r="A5" s="97" t="n">
        <v>46043</v>
      </c>
      <c r="B5" s="98" t="inlineStr">
        <is>
          <t>AG Grace Inc.</t>
        </is>
      </c>
      <c r="C5" s="98" t="inlineStr">
        <is>
          <t>Khaalis Wooden, Susan Rouse, Graham</t>
        </is>
      </c>
      <c r="D5" s="98" t="inlineStr">
        <is>
          <t>Sync</t>
        </is>
      </c>
      <c r="E5" s="98" t="inlineStr">
        <is>
          <t>Weekly Wednesday partner sync — capture, compliance, set-aside coordination</t>
        </is>
      </c>
      <c r="F5" s="98" t="inlineStr">
        <is>
          <t>Continue weekly cadence</t>
        </is>
      </c>
      <c r="G5" s="98" t="inlineStr">
        <is>
          <t>Khaalis</t>
        </is>
      </c>
    </row>
    <row r="6" ht="34.5" customHeight="1" s="52">
      <c r="A6" s="97" t="n">
        <v>46050</v>
      </c>
      <c r="B6" s="98" t="inlineStr">
        <is>
          <t>AG Grace Inc.</t>
        </is>
      </c>
      <c r="C6" s="98" t="inlineStr">
        <is>
          <t>Khaalis Wooden, Susan Rouse, Graham</t>
        </is>
      </c>
      <c r="D6" s="98" t="inlineStr">
        <is>
          <t>Sync</t>
        </is>
      </c>
      <c r="E6" s="98" t="inlineStr">
        <is>
          <t>Weekly Wednesday partner sync — capture, compliance, set-aside coordination</t>
        </is>
      </c>
      <c r="F6" s="98" t="inlineStr">
        <is>
          <t>Continue weekly cadence</t>
        </is>
      </c>
      <c r="G6" s="98" t="inlineStr">
        <is>
          <t>Khaalis</t>
        </is>
      </c>
    </row>
    <row r="7" ht="34.5" customHeight="1" s="52">
      <c r="A7" s="97" t="n">
        <v>46057</v>
      </c>
      <c r="B7" s="98" t="inlineStr">
        <is>
          <t>AG Grace Inc.</t>
        </is>
      </c>
      <c r="C7" s="98" t="inlineStr">
        <is>
          <t>Khaalis Wooden, Susan Rouse, Graham</t>
        </is>
      </c>
      <c r="D7" s="98" t="inlineStr">
        <is>
          <t>Sync</t>
        </is>
      </c>
      <c r="E7" s="98" t="inlineStr">
        <is>
          <t>Weekly Wednesday partner sync — capture, compliance, set-aside coordination</t>
        </is>
      </c>
      <c r="F7" s="98" t="inlineStr">
        <is>
          <t>Continue weekly cadence</t>
        </is>
      </c>
      <c r="G7" s="98" t="inlineStr">
        <is>
          <t>Khaalis</t>
        </is>
      </c>
    </row>
    <row r="8" ht="34.5" customHeight="1" s="52">
      <c r="A8" s="97" t="n">
        <v>46064</v>
      </c>
      <c r="B8" s="98" t="inlineStr">
        <is>
          <t>AG Grace Inc.</t>
        </is>
      </c>
      <c r="C8" s="98" t="inlineStr">
        <is>
          <t>Khaalis Wooden, Susan Rouse, Graham</t>
        </is>
      </c>
      <c r="D8" s="98" t="inlineStr">
        <is>
          <t>Sync</t>
        </is>
      </c>
      <c r="E8" s="98" t="inlineStr">
        <is>
          <t>Weekly Wednesday partner sync — capture, compliance, set-aside coordination</t>
        </is>
      </c>
      <c r="F8" s="98" t="inlineStr">
        <is>
          <t>Continue weekly cadence</t>
        </is>
      </c>
      <c r="G8" s="98" t="inlineStr">
        <is>
          <t>Khaalis</t>
        </is>
      </c>
    </row>
    <row r="9" ht="34.5" customHeight="1" s="52">
      <c r="A9" s="97" t="n">
        <v>46071</v>
      </c>
      <c r="B9" s="98" t="inlineStr">
        <is>
          <t>AG Grace Inc.</t>
        </is>
      </c>
      <c r="C9" s="98" t="inlineStr">
        <is>
          <t>Khaalis Wooden, Susan Rouse, Graham</t>
        </is>
      </c>
      <c r="D9" s="98" t="inlineStr">
        <is>
          <t>Sync</t>
        </is>
      </c>
      <c r="E9" s="98" t="inlineStr">
        <is>
          <t>Weekly Wednesday partner sync — capture, compliance, set-aside coordination</t>
        </is>
      </c>
      <c r="F9" s="98" t="inlineStr">
        <is>
          <t>Continue weekly cadence</t>
        </is>
      </c>
      <c r="G9" s="98" t="inlineStr">
        <is>
          <t>Khaalis</t>
        </is>
      </c>
    </row>
    <row r="10" ht="34.5" customHeight="1" s="52">
      <c r="A10" s="97" t="n">
        <v>46078</v>
      </c>
      <c r="B10" s="98" t="inlineStr">
        <is>
          <t>AG Grace Inc.</t>
        </is>
      </c>
      <c r="C10" s="98" t="inlineStr">
        <is>
          <t>Khaalis Wooden, Susan Rouse, Graham</t>
        </is>
      </c>
      <c r="D10" s="98" t="inlineStr">
        <is>
          <t>Sync</t>
        </is>
      </c>
      <c r="E10" s="98" t="inlineStr">
        <is>
          <t>Weekly Wednesday partner sync — capture, compliance, set-aside coordination</t>
        </is>
      </c>
      <c r="F10" s="98" t="inlineStr">
        <is>
          <t>Continue weekly cadence</t>
        </is>
      </c>
      <c r="G10" s="98" t="inlineStr">
        <is>
          <t>Khaalis</t>
        </is>
      </c>
    </row>
    <row r="11" ht="34.5" customHeight="1" s="52">
      <c r="A11" s="97" t="n">
        <v>46085</v>
      </c>
      <c r="B11" s="98" t="inlineStr">
        <is>
          <t>AG Grace Inc.</t>
        </is>
      </c>
      <c r="C11" s="98" t="inlineStr">
        <is>
          <t>Khaalis Wooden, Susan Rouse, Graham</t>
        </is>
      </c>
      <c r="D11" s="98" t="inlineStr">
        <is>
          <t>Sync</t>
        </is>
      </c>
      <c r="E11" s="98" t="inlineStr">
        <is>
          <t>Weekly Wednesday partner sync — capture, compliance, set-aside coordination</t>
        </is>
      </c>
      <c r="F11" s="98" t="inlineStr">
        <is>
          <t>Continue weekly cadence</t>
        </is>
      </c>
      <c r="G11" s="98" t="inlineStr">
        <is>
          <t>Khaalis</t>
        </is>
      </c>
    </row>
    <row r="12" ht="34.5" customHeight="1" s="52">
      <c r="A12" s="97" t="n">
        <v>46092</v>
      </c>
      <c r="B12" s="98" t="inlineStr">
        <is>
          <t>AG Grace Inc.</t>
        </is>
      </c>
      <c r="C12" s="98" t="inlineStr">
        <is>
          <t>Khaalis Wooden, Susan Rouse, Graham</t>
        </is>
      </c>
      <c r="D12" s="98" t="inlineStr">
        <is>
          <t>Sync</t>
        </is>
      </c>
      <c r="E12" s="98" t="inlineStr">
        <is>
          <t>Weekly Wednesday partner sync — capture, compliance, set-aside coordination</t>
        </is>
      </c>
      <c r="F12" s="98" t="inlineStr">
        <is>
          <t>Continue weekly cadence</t>
        </is>
      </c>
      <c r="G12" s="98" t="inlineStr">
        <is>
          <t>Khaalis</t>
        </is>
      </c>
    </row>
    <row r="13" ht="34.5" customHeight="1" s="52">
      <c r="A13" s="97" t="n">
        <v>46099</v>
      </c>
      <c r="B13" s="98" t="inlineStr">
        <is>
          <t>AG Grace Inc.</t>
        </is>
      </c>
      <c r="C13" s="98" t="inlineStr">
        <is>
          <t>Khaalis Wooden, Susan Rouse, Graham</t>
        </is>
      </c>
      <c r="D13" s="98" t="inlineStr">
        <is>
          <t>Sync</t>
        </is>
      </c>
      <c r="E13" s="98" t="inlineStr">
        <is>
          <t>Weekly Wednesday partner sync — capture, compliance, set-aside coordination</t>
        </is>
      </c>
      <c r="F13" s="98" t="inlineStr">
        <is>
          <t>Continue weekly cadence</t>
        </is>
      </c>
      <c r="G13" s="98" t="inlineStr">
        <is>
          <t>Khaalis</t>
        </is>
      </c>
    </row>
    <row r="14" ht="34.5" customHeight="1" s="52">
      <c r="A14" s="97" t="n">
        <v>46106</v>
      </c>
      <c r="B14" s="98" t="inlineStr">
        <is>
          <t>AG Grace Inc.</t>
        </is>
      </c>
      <c r="C14" s="98" t="inlineStr">
        <is>
          <t>Khaalis Wooden, Susan Rouse, Graham</t>
        </is>
      </c>
      <c r="D14" s="98" t="inlineStr">
        <is>
          <t>Sync</t>
        </is>
      </c>
      <c r="E14" s="98" t="inlineStr">
        <is>
          <t>Weekly Wednesday partner sync — capture, compliance, set-aside coordination</t>
        </is>
      </c>
      <c r="F14" s="98" t="inlineStr">
        <is>
          <t>Continue weekly cadence</t>
        </is>
      </c>
      <c r="G14" s="98" t="inlineStr">
        <is>
          <t>Khaalis</t>
        </is>
      </c>
    </row>
    <row r="15" ht="34.5" customHeight="1" s="52">
      <c r="A15" s="97" t="n">
        <v>46113</v>
      </c>
      <c r="B15" s="98" t="inlineStr">
        <is>
          <t>AG Grace Inc.</t>
        </is>
      </c>
      <c r="C15" s="98" t="inlineStr">
        <is>
          <t>Khaalis Wooden, Susan Rouse, Graham</t>
        </is>
      </c>
      <c r="D15" s="98" t="inlineStr">
        <is>
          <t>Sync</t>
        </is>
      </c>
      <c r="E15" s="98" t="inlineStr">
        <is>
          <t>Weekly Wednesday partner sync — capture, compliance, set-aside coordination</t>
        </is>
      </c>
      <c r="F15" s="98" t="inlineStr">
        <is>
          <t>Continue weekly cadence</t>
        </is>
      </c>
      <c r="G15" s="98" t="inlineStr">
        <is>
          <t>Khaalis</t>
        </is>
      </c>
    </row>
    <row r="16" ht="34.5" customHeight="1" s="52">
      <c r="A16" s="97" t="n">
        <v>46120</v>
      </c>
      <c r="B16" s="98" t="inlineStr">
        <is>
          <t>AG Grace Inc.</t>
        </is>
      </c>
      <c r="C16" s="98" t="inlineStr">
        <is>
          <t>Khaalis Wooden, Susan Rouse, Graham</t>
        </is>
      </c>
      <c r="D16" s="98" t="inlineStr">
        <is>
          <t>Sync</t>
        </is>
      </c>
      <c r="E16" s="98" t="inlineStr">
        <is>
          <t>Weekly Wednesday partner sync — capture, compliance, set-aside coordination</t>
        </is>
      </c>
      <c r="F16" s="98" t="inlineStr">
        <is>
          <t>Continue weekly cadence</t>
        </is>
      </c>
      <c r="G16" s="98" t="inlineStr">
        <is>
          <t>Khaalis</t>
        </is>
      </c>
    </row>
    <row r="17" ht="34.5" customHeight="1" s="52">
      <c r="A17" s="97" t="n">
        <v>46127</v>
      </c>
      <c r="B17" s="98" t="inlineStr">
        <is>
          <t>AG Grace Inc.</t>
        </is>
      </c>
      <c r="C17" s="98" t="inlineStr">
        <is>
          <t>Khaalis Wooden, Susan Rouse, Graham</t>
        </is>
      </c>
      <c r="D17" s="98" t="inlineStr">
        <is>
          <t>Sync</t>
        </is>
      </c>
      <c r="E17" s="98" t="inlineStr">
        <is>
          <t>Weekly Wednesday partner sync — capture, compliance, set-aside coordination</t>
        </is>
      </c>
      <c r="F17" s="98" t="inlineStr">
        <is>
          <t>Continue weekly cadence</t>
        </is>
      </c>
      <c r="G17" s="98" t="inlineStr">
        <is>
          <t>Khaalis</t>
        </is>
      </c>
    </row>
    <row r="18" ht="23.25" customHeight="1" s="52">
      <c r="A18" s="97" t="n">
        <v>46129</v>
      </c>
      <c r="B18" s="98" t="inlineStr">
        <is>
          <t>Vonis Consulting</t>
        </is>
      </c>
      <c r="C18" s="98" t="inlineStr">
        <is>
          <t>Khaalis Wooden</t>
        </is>
      </c>
      <c r="D18" s="98" t="inlineStr">
        <is>
          <t>Intro</t>
        </is>
      </c>
      <c r="E18" s="98" t="inlineStr">
        <is>
          <t>NDA + BD Commission framework discussed (Iwona Przedpelska)</t>
        </is>
      </c>
      <c r="F18" s="98" t="inlineStr">
        <is>
          <t>Send commission agreement</t>
        </is>
      </c>
      <c r="G18" s="98" t="inlineStr">
        <is>
          <t>Khaalis</t>
        </is>
      </c>
    </row>
    <row r="19" ht="34.5" customHeight="1" s="52">
      <c r="A19" s="97" t="n">
        <v>46131</v>
      </c>
      <c r="B19" s="98" t="inlineStr">
        <is>
          <t>theta LLC</t>
        </is>
      </c>
      <c r="C19" s="98" t="inlineStr">
        <is>
          <t>Khaalis Wooden, Akil Chellam</t>
        </is>
      </c>
      <c r="D19" s="98" t="inlineStr">
        <is>
          <t>Discovery</t>
        </is>
      </c>
      <c r="E19" s="98" t="inlineStr">
        <is>
          <t>HHS SWIFT BPA / CMS / CDC vehicles capability discussion (Mannie Iroanya)</t>
        </is>
      </c>
      <c r="F19" s="98" t="inlineStr">
        <is>
          <t>Follow-up on CMS pursuits</t>
        </is>
      </c>
      <c r="G19" s="98" t="inlineStr">
        <is>
          <t>Khaalis</t>
        </is>
      </c>
    </row>
    <row r="20" ht="23.25" customHeight="1" s="52">
      <c r="A20" s="97" t="n">
        <v>46131</v>
      </c>
      <c r="B20" s="98" t="inlineStr">
        <is>
          <t>AgileCare</t>
        </is>
      </c>
      <c r="C20" s="98" t="inlineStr">
        <is>
          <t>Khaalis Wooden</t>
        </is>
      </c>
      <c r="D20" s="98" t="inlineStr">
        <is>
          <t>Intro</t>
        </is>
      </c>
      <c r="E20" s="98" t="inlineStr">
        <is>
          <t>Healthcare IT capability overlap discussion (Marion Vanzie)</t>
        </is>
      </c>
      <c r="F20" s="98" t="inlineStr">
        <is>
          <t>Verify set-asides and vehicles</t>
        </is>
      </c>
      <c r="G20" s="98" t="inlineStr">
        <is>
          <t>Khaalis</t>
        </is>
      </c>
    </row>
    <row r="21" ht="23.25" customHeight="1" s="52">
      <c r="A21" s="97" t="n">
        <v>46132</v>
      </c>
      <c r="B21" s="98" t="inlineStr">
        <is>
          <t>GD Resources (GDR)</t>
        </is>
      </c>
      <c r="C21" s="98" t="inlineStr">
        <is>
          <t>Khaalis Wooden</t>
        </is>
      </c>
      <c r="D21" s="98" t="inlineStr">
        <is>
          <t>Intro</t>
        </is>
      </c>
      <c r="E21" s="98" t="inlineStr">
        <is>
          <t>Maryland MBE/DBE/SBE — SLED focus (Basso Ghee)</t>
        </is>
      </c>
      <c r="F21" s="98" t="inlineStr">
        <is>
          <t>NDA execution</t>
        </is>
      </c>
      <c r="G21" s="98" t="inlineStr">
        <is>
          <t>Khaalis</t>
        </is>
      </c>
    </row>
    <row r="22" ht="15" customHeight="1" s="52">
      <c r="A22" s="97" t="n">
        <v>46132</v>
      </c>
      <c r="B22" s="98" t="inlineStr">
        <is>
          <t>PTECH</t>
        </is>
      </c>
      <c r="C22" s="98" t="inlineStr">
        <is>
          <t>Khaalis Wooden</t>
        </is>
      </c>
      <c r="D22" s="98" t="inlineStr">
        <is>
          <t>Exploratory</t>
        </is>
      </c>
      <c r="E22" s="98" t="inlineStr">
        <is>
          <t>No near-term synergy</t>
        </is>
      </c>
      <c r="F22" s="98" t="inlineStr">
        <is>
          <t>FILED — no follow-up</t>
        </is>
      </c>
      <c r="G22" s="98" t="inlineStr">
        <is>
          <t>Khaalis</t>
        </is>
      </c>
    </row>
    <row r="23" ht="34.5" customHeight="1" s="52">
      <c r="A23" s="97" t="n">
        <v>46134</v>
      </c>
      <c r="B23" s="98" t="inlineStr">
        <is>
          <t>AG Grace Inc.</t>
        </is>
      </c>
      <c r="C23" s="98" t="inlineStr">
        <is>
          <t>Khaalis Wooden, Susan Rouse, Graham</t>
        </is>
      </c>
      <c r="D23" s="98" t="inlineStr">
        <is>
          <t>Sync</t>
        </is>
      </c>
      <c r="E23" s="98" t="inlineStr">
        <is>
          <t>Weekly Wednesday partner sync — capture, compliance, set-aside coordination</t>
        </is>
      </c>
      <c r="F23" s="98" t="inlineStr">
        <is>
          <t>Continue weekly cadence</t>
        </is>
      </c>
      <c r="G23" s="98" t="inlineStr">
        <is>
          <t>Khaalis</t>
        </is>
      </c>
    </row>
    <row r="24" ht="34.5" customHeight="1" s="52">
      <c r="A24" s="97" t="n">
        <v>46135</v>
      </c>
      <c r="B24" s="98" t="inlineStr">
        <is>
          <t>SRFed</t>
        </is>
      </c>
      <c r="C24" s="98" t="inlineStr">
        <is>
          <t>Khaalis Wooden</t>
        </is>
      </c>
      <c r="D24" s="98" t="inlineStr">
        <is>
          <t>Discovery</t>
        </is>
      </c>
      <c r="E24" s="98" t="inlineStr">
        <is>
          <t>SDVOSB + GSA MAS + SeaPort NxG discussion (Paul Scace, Matthew Tarjick)</t>
        </is>
      </c>
      <c r="F24" s="98" t="inlineStr">
        <is>
          <t>NDA + teaming follow-up</t>
        </is>
      </c>
      <c r="G24" s="98" t="inlineStr">
        <is>
          <t>Khaalis</t>
        </is>
      </c>
    </row>
    <row r="25" ht="15" customHeight="1" s="52">
      <c r="A25" s="97" t="n">
        <v>46135</v>
      </c>
      <c r="B25" s="98" t="inlineStr">
        <is>
          <t>NetSecurely</t>
        </is>
      </c>
      <c r="C25" s="98" t="inlineStr">
        <is>
          <t>Khaalis Wooden</t>
        </is>
      </c>
      <c r="D25" s="98" t="inlineStr">
        <is>
          <t>Intro</t>
        </is>
      </c>
      <c r="E25" s="98" t="inlineStr">
        <is>
          <t>Cybersecurity focus (Josh Fonger)</t>
        </is>
      </c>
      <c r="F25" s="98" t="inlineStr">
        <is>
          <t>NDA execution</t>
        </is>
      </c>
      <c r="G25" s="98" t="inlineStr">
        <is>
          <t>Khaalis</t>
        </is>
      </c>
    </row>
    <row r="26" ht="23.25" customHeight="1" s="52">
      <c r="A26" s="97" t="n">
        <v>46135</v>
      </c>
      <c r="B26" s="98" t="inlineStr">
        <is>
          <t>TDM Consultants</t>
        </is>
      </c>
      <c r="C26" s="98" t="inlineStr">
        <is>
          <t>Khaalis Wooden</t>
        </is>
      </c>
      <c r="D26" s="98" t="inlineStr">
        <is>
          <t>Intro</t>
        </is>
      </c>
      <c r="E26" s="98" t="inlineStr">
        <is>
          <t>Capability fit assessment (Tony Macon)</t>
        </is>
      </c>
      <c r="F26" s="98" t="inlineStr">
        <is>
          <t>WATCHLIST monitoring</t>
        </is>
      </c>
      <c r="G26" s="98" t="inlineStr">
        <is>
          <t>Khaalis</t>
        </is>
      </c>
    </row>
    <row r="27" ht="23.25" customHeight="1" s="52">
      <c r="A27" s="97" t="n">
        <v>46138</v>
      </c>
      <c r="B27" s="98" t="inlineStr">
        <is>
          <t>ResilientMind AI</t>
        </is>
      </c>
      <c r="C27" s="98" t="inlineStr">
        <is>
          <t>Khaalis Wooden</t>
        </is>
      </c>
      <c r="D27" s="98" t="inlineStr">
        <is>
          <t>Intro</t>
        </is>
      </c>
      <c r="E27" s="98" t="inlineStr">
        <is>
          <t>AI capabilities discussion (Joseph McGinty)</t>
        </is>
      </c>
      <c r="F27" s="98" t="inlineStr">
        <is>
          <t>Monitor for opportunity</t>
        </is>
      </c>
      <c r="G27" s="98" t="inlineStr">
        <is>
          <t>Khaalis</t>
        </is>
      </c>
    </row>
    <row r="28" ht="34.5" customHeight="1" s="52">
      <c r="A28" s="97" t="n">
        <v>46139</v>
      </c>
      <c r="B28" s="98" t="inlineStr">
        <is>
          <t>Proksi Systems</t>
        </is>
      </c>
      <c r="C28" s="98" t="inlineStr">
        <is>
          <t>Khaalis Wooden</t>
        </is>
      </c>
      <c r="D28" s="98" t="inlineStr">
        <is>
          <t>Discovery</t>
        </is>
      </c>
      <c r="E28" s="98" t="inlineStr">
        <is>
          <t>8(a)/WOSB/EDWOSB/HUBZone stack (Riddhi Choksi, Pragnay Choksi)</t>
        </is>
      </c>
      <c r="F28" s="98" t="inlineStr">
        <is>
          <t>NDA execution</t>
        </is>
      </c>
      <c r="G28" s="98" t="inlineStr">
        <is>
          <t>Khaalis</t>
        </is>
      </c>
    </row>
    <row r="29" ht="15" customHeight="1" s="52">
      <c r="A29" s="97" t="n">
        <v>46139</v>
      </c>
      <c r="B29" s="98" t="inlineStr">
        <is>
          <t>Apex Consulting</t>
        </is>
      </c>
      <c r="C29" s="98" t="inlineStr">
        <is>
          <t>Khaalis Wooden</t>
        </is>
      </c>
      <c r="D29" s="98" t="inlineStr">
        <is>
          <t>Intro</t>
        </is>
      </c>
      <c r="E29" s="98" t="inlineStr">
        <is>
          <t>VOSB intro (Jacob Gadd)</t>
        </is>
      </c>
      <c r="F29" s="98" t="inlineStr">
        <is>
          <t>NDA execution</t>
        </is>
      </c>
      <c r="G29" s="98" t="inlineStr">
        <is>
          <t>Khaalis</t>
        </is>
      </c>
    </row>
    <row r="30" ht="15" customHeight="1" s="52">
      <c r="A30" s="97" t="n">
        <v>46139</v>
      </c>
      <c r="B30" s="98" t="inlineStr">
        <is>
          <t>Blue Rose Consulting</t>
        </is>
      </c>
      <c r="C30" s="98" t="inlineStr">
        <is>
          <t>Khaalis Wooden</t>
        </is>
      </c>
      <c r="D30" s="98" t="inlineStr">
        <is>
          <t>Intro</t>
        </is>
      </c>
      <c r="E30" s="98" t="inlineStr">
        <is>
          <t>Capability fit review (Todd Weiler)</t>
        </is>
      </c>
      <c r="F30" s="98" t="inlineStr">
        <is>
          <t>BENCH classification</t>
        </is>
      </c>
      <c r="G30" s="98" t="inlineStr">
        <is>
          <t>Khaalis</t>
        </is>
      </c>
    </row>
    <row r="31" ht="23.25" customHeight="1" s="52">
      <c r="A31" s="97" t="n">
        <v>46140</v>
      </c>
      <c r="B31" s="98" t="inlineStr">
        <is>
          <t>TES Consultants</t>
        </is>
      </c>
      <c r="C31" s="98" t="inlineStr">
        <is>
          <t>Khaalis Wooden</t>
        </is>
      </c>
      <c r="D31" s="98" t="inlineStr">
        <is>
          <t>Discovery</t>
        </is>
      </c>
      <c r="E31" s="98" t="inlineStr">
        <is>
          <t>8(a)/WOSB/EDWOSB McLean VA (Elisabeth Nguyen)</t>
        </is>
      </c>
      <c r="F31" s="98" t="inlineStr">
        <is>
          <t>NDA finalize</t>
        </is>
      </c>
      <c r="G31" s="98" t="inlineStr">
        <is>
          <t>Khaalis</t>
        </is>
      </c>
    </row>
    <row r="32" ht="15" customHeight="1" s="52">
      <c r="A32" s="97" t="n">
        <v>46140</v>
      </c>
      <c r="B32" s="98" t="inlineStr">
        <is>
          <t>AlphaTango</t>
        </is>
      </c>
      <c r="C32" s="98" t="inlineStr">
        <is>
          <t>Khaalis Wooden</t>
        </is>
      </c>
      <c r="D32" s="98" t="inlineStr">
        <is>
          <t>Intro</t>
        </is>
      </c>
      <c r="E32" s="98" t="inlineStr">
        <is>
          <t>Bench eval (Anna Olvera)</t>
        </is>
      </c>
      <c r="F32" s="98" t="inlineStr">
        <is>
          <t>Pending further eval</t>
        </is>
      </c>
      <c r="G32" s="98" t="inlineStr">
        <is>
          <t>Khaalis</t>
        </is>
      </c>
    </row>
    <row r="33" ht="34.5" customHeight="1" s="52">
      <c r="A33" s="97" t="n">
        <v>46141</v>
      </c>
      <c r="B33" s="98" t="inlineStr">
        <is>
          <t>AG Grace Inc.</t>
        </is>
      </c>
      <c r="C33" s="98" t="inlineStr">
        <is>
          <t>Khaalis Wooden, Susan Rouse, Graham</t>
        </is>
      </c>
      <c r="D33" s="98" t="inlineStr">
        <is>
          <t>Sync</t>
        </is>
      </c>
      <c r="E33" s="98" t="inlineStr">
        <is>
          <t>Weekly Wednesday partner sync — capture, compliance, set-aside coordination</t>
        </is>
      </c>
      <c r="F33" s="98" t="inlineStr">
        <is>
          <t>Continue weekly cadence</t>
        </is>
      </c>
      <c r="G33" s="98" t="inlineStr">
        <is>
          <t>Khaalis</t>
        </is>
      </c>
    </row>
    <row r="34" ht="23.25" customHeight="1" s="52">
      <c r="A34" s="97" t="n">
        <v>46142</v>
      </c>
      <c r="B34" s="98" t="inlineStr">
        <is>
          <t>SAG / Strategic Alliances Group</t>
        </is>
      </c>
      <c r="C34" s="98" t="inlineStr">
        <is>
          <t>Khaalis Wooden</t>
        </is>
      </c>
      <c r="D34" s="98" t="inlineStr">
        <is>
          <t>Discovery</t>
        </is>
      </c>
      <c r="E34" s="98" t="inlineStr">
        <is>
          <t>SDVOSB/WOSB/MBE/DBE — SHIELD IDIQ seat (Sharon Jacobs)</t>
        </is>
      </c>
      <c r="F34" s="98" t="inlineStr">
        <is>
          <t>Same-day NDA execution</t>
        </is>
      </c>
      <c r="G34" s="98" t="inlineStr">
        <is>
          <t>Khaalis</t>
        </is>
      </c>
    </row>
    <row r="35" ht="23.25" customHeight="1" s="52">
      <c r="A35" s="97" t="n">
        <v>46146</v>
      </c>
      <c r="B35" s="98" t="inlineStr">
        <is>
          <t>IronCloud Government Services</t>
        </is>
      </c>
      <c r="C35" s="98" t="inlineStr">
        <is>
          <t>Khaalis Wooden</t>
        </is>
      </c>
      <c r="D35" s="98" t="inlineStr">
        <is>
          <t>Intro</t>
        </is>
      </c>
      <c r="E35" s="98" t="inlineStr">
        <is>
          <t>Set-aside and vehicle review (Jeffrey Brown)</t>
        </is>
      </c>
      <c r="F35" s="98" t="inlineStr">
        <is>
          <t>NDA execution</t>
        </is>
      </c>
      <c r="G35" s="98" t="inlineStr">
        <is>
          <t>Khaalis</t>
        </is>
      </c>
    </row>
    <row r="36" ht="23.25" customHeight="1" s="52">
      <c r="A36" s="97" t="n">
        <v>46146</v>
      </c>
      <c r="B36" s="98" t="inlineStr">
        <is>
          <t>CodeCypher</t>
        </is>
      </c>
      <c r="C36" s="98" t="inlineStr">
        <is>
          <t>Khaalis Wooden</t>
        </is>
      </c>
      <c r="D36" s="98" t="inlineStr">
        <is>
          <t>Intro</t>
        </is>
      </c>
      <c r="E36" s="98" t="inlineStr">
        <is>
          <t>HUBZone bench partner (Jeff Holmes)</t>
        </is>
      </c>
      <c r="F36" s="98" t="inlineStr">
        <is>
          <t>BENCH — MT AI Track 1 conditional activation</t>
        </is>
      </c>
      <c r="G36" s="98" t="inlineStr">
        <is>
          <t>Khaalis</t>
        </is>
      </c>
    </row>
    <row r="37" ht="15" customHeight="1" s="52">
      <c r="A37" s="97" t="n">
        <v>46146</v>
      </c>
      <c r="B37" s="98" t="inlineStr">
        <is>
          <t>RDE</t>
        </is>
      </c>
      <c r="C37" s="98" t="inlineStr">
        <is>
          <t>Khaalis Wooden</t>
        </is>
      </c>
      <c r="D37" s="98" t="inlineStr">
        <is>
          <t>Intro</t>
        </is>
      </c>
      <c r="E37" s="98" t="inlineStr">
        <is>
          <t>Limited intel; bench (C. Sullivan)</t>
        </is>
      </c>
      <c r="F37" s="98" t="inlineStr">
        <is>
          <t>BENCH</t>
        </is>
      </c>
      <c r="G37" s="98" t="inlineStr">
        <is>
          <t>Khaalis</t>
        </is>
      </c>
    </row>
    <row r="38" ht="15" customHeight="1" s="52">
      <c r="A38" s="97" t="n">
        <v>46146</v>
      </c>
      <c r="B38" s="98" t="inlineStr">
        <is>
          <t>SirrahPathways</t>
        </is>
      </c>
      <c r="C38" s="98" t="inlineStr">
        <is>
          <t>Khaalis Wooden</t>
        </is>
      </c>
      <c r="D38" s="98" t="inlineStr">
        <is>
          <t>Intro</t>
        </is>
      </c>
      <c r="E38" s="98" t="inlineStr">
        <is>
          <t>Watchlist (Sheryl Houston)</t>
        </is>
      </c>
      <c r="F38" s="98" t="inlineStr">
        <is>
          <t>Monitoring</t>
        </is>
      </c>
      <c r="G38" s="98" t="inlineStr">
        <is>
          <t>Khaalis</t>
        </is>
      </c>
    </row>
    <row r="39" ht="15" customHeight="1" s="52">
      <c r="A39" s="97" t="n">
        <v>46146</v>
      </c>
      <c r="B39" s="98" t="inlineStr">
        <is>
          <t>ELCOMM</t>
        </is>
      </c>
      <c r="C39" s="98" t="inlineStr">
        <is>
          <t>Khaalis Wooden</t>
        </is>
      </c>
      <c r="D39" s="98" t="inlineStr">
        <is>
          <t>Intro</t>
        </is>
      </c>
      <c r="E39" s="98" t="inlineStr">
        <is>
          <t>Watchlist (Ellerbee)</t>
        </is>
      </c>
      <c r="F39" s="98" t="inlineStr">
        <is>
          <t>Monitoring</t>
        </is>
      </c>
      <c r="G39" s="98" t="inlineStr">
        <is>
          <t>Khaalis</t>
        </is>
      </c>
    </row>
    <row r="40" ht="34.5" customHeight="1" s="52">
      <c r="A40" s="97" t="n">
        <v>46148</v>
      </c>
      <c r="B40" s="98" t="inlineStr">
        <is>
          <t>AG Grace Inc.</t>
        </is>
      </c>
      <c r="C40" s="98" t="inlineStr">
        <is>
          <t>Khaalis Wooden, Susan Rouse, Graham</t>
        </is>
      </c>
      <c r="D40" s="98" t="inlineStr">
        <is>
          <t>Sync</t>
        </is>
      </c>
      <c r="E40" s="98" t="inlineStr">
        <is>
          <t>Weekly Wednesday partner sync — capture, compliance, set-aside coordination</t>
        </is>
      </c>
      <c r="F40" s="98" t="inlineStr">
        <is>
          <t>Continue weekly cadence</t>
        </is>
      </c>
      <c r="G40" s="98" t="inlineStr">
        <is>
          <t>Khaalis</t>
        </is>
      </c>
    </row>
    <row r="41" ht="15" customHeight="1" s="52">
      <c r="A41" s="97" t="n">
        <v>46148</v>
      </c>
      <c r="B41" s="98" t="inlineStr">
        <is>
          <t>SRFed</t>
        </is>
      </c>
      <c r="C41" s="98" t="inlineStr">
        <is>
          <t>Khaalis Wooden, Paul Scace</t>
        </is>
      </c>
      <c r="D41" s="98" t="inlineStr">
        <is>
          <t>Sync</t>
        </is>
      </c>
      <c r="E41" s="98" t="inlineStr">
        <is>
          <t>NDA executed; teaming discussion</t>
        </is>
      </c>
      <c r="F41" s="98" t="inlineStr">
        <is>
          <t>Master teaming agreement</t>
        </is>
      </c>
      <c r="G41" s="98" t="inlineStr">
        <is>
          <t>Khaalis</t>
        </is>
      </c>
    </row>
    <row r="42" ht="23.25" customHeight="1" s="52">
      <c r="A42" s="97" t="n">
        <v>46148</v>
      </c>
      <c r="B42" s="98" t="inlineStr">
        <is>
          <t>Proksi Systems</t>
        </is>
      </c>
      <c r="C42" s="98" t="inlineStr">
        <is>
          <t>Khaalis Wooden, Riddhi Choksi</t>
        </is>
      </c>
      <c r="D42" s="98" t="inlineStr">
        <is>
          <t>Sync</t>
        </is>
      </c>
      <c r="E42" s="98" t="inlineStr">
        <is>
          <t>NDA executed</t>
        </is>
      </c>
      <c r="F42" s="98" t="inlineStr">
        <is>
          <t>Vehicle access discussion</t>
        </is>
      </c>
      <c r="G42" s="98" t="inlineStr">
        <is>
          <t>Khaalis</t>
        </is>
      </c>
    </row>
    <row r="43" ht="15" customHeight="1" s="52">
      <c r="A43" s="97" t="n">
        <v>46148</v>
      </c>
      <c r="B43" s="98" t="inlineStr">
        <is>
          <t>Invicta Solutions Group</t>
        </is>
      </c>
      <c r="C43" s="98" t="inlineStr">
        <is>
          <t>Khaalis Wooden</t>
        </is>
      </c>
      <c r="D43" s="98" t="inlineStr">
        <is>
          <t>Sync</t>
        </is>
      </c>
      <c r="E43" s="98" t="inlineStr">
        <is>
          <t>NDA executed; intro call pending</t>
        </is>
      </c>
      <c r="F43" s="98" t="inlineStr">
        <is>
          <t>Schedule intro call</t>
        </is>
      </c>
      <c r="G43" s="98" t="inlineStr">
        <is>
          <t>Khaalis</t>
        </is>
      </c>
    </row>
    <row r="44" ht="34.5" customHeight="1" s="52">
      <c r="A44" s="97" t="n">
        <v>46154</v>
      </c>
      <c r="B44" s="98" t="inlineStr">
        <is>
          <t>MTNT</t>
        </is>
      </c>
      <c r="C44" s="98" t="inlineStr">
        <is>
          <t>Khaalis Wooden, David Shearman</t>
        </is>
      </c>
      <c r="D44" s="98" t="inlineStr">
        <is>
          <t>Discovery</t>
        </is>
      </c>
      <c r="E44" s="98" t="inlineStr">
        <is>
          <t>ANC 8(a) sole-source authority discussion (up to $25M civilian / $100M DoD)</t>
        </is>
      </c>
      <c r="F44" s="98" t="inlineStr">
        <is>
          <t>IHS/HRSA angle pursuit</t>
        </is>
      </c>
      <c r="G44" s="98" t="inlineStr">
        <is>
          <t>Khaalis</t>
        </is>
      </c>
    </row>
    <row r="45" ht="23.25" customHeight="1" s="52">
      <c r="A45" s="97" t="n">
        <v>46154</v>
      </c>
      <c r="B45" s="98" t="inlineStr">
        <is>
          <t>Copper River Technologies</t>
        </is>
      </c>
      <c r="C45" s="98" t="inlineStr">
        <is>
          <t>Khaalis Wooden, Bradley Halladay, Bill Halladay</t>
        </is>
      </c>
      <c r="D45" s="98" t="inlineStr">
        <is>
          <t>Discovery</t>
        </is>
      </c>
      <c r="E45" s="98" t="inlineStr">
        <is>
          <t>IHS EHR (PATH); GDIT prime context; SEWP V / ITES-4H access</t>
        </is>
      </c>
      <c r="F45" s="98" t="inlineStr">
        <is>
          <t>Kompkoff (DHITMO) / Thornbrugh (IHS OIT) intro</t>
        </is>
      </c>
      <c r="G45" s="98" t="inlineStr">
        <is>
          <t>Khaalis</t>
        </is>
      </c>
    </row>
    <row r="46" ht="34.5" customHeight="1" s="52">
      <c r="A46" s="97" t="n">
        <v>46155</v>
      </c>
      <c r="B46" s="98" t="inlineStr">
        <is>
          <t>AG Grace Inc.</t>
        </is>
      </c>
      <c r="C46" s="98" t="inlineStr">
        <is>
          <t>Khaalis Wooden, Susan Rouse, Graham</t>
        </is>
      </c>
      <c r="D46" s="98" t="inlineStr">
        <is>
          <t>Sync</t>
        </is>
      </c>
      <c r="E46" s="98" t="inlineStr">
        <is>
          <t>Weekly Wednesday partner sync — capture, compliance, set-aside coordination</t>
        </is>
      </c>
      <c r="F46" s="98" t="inlineStr">
        <is>
          <t>Continue weekly cadence</t>
        </is>
      </c>
      <c r="G46" s="98" t="inlineStr">
        <is>
          <t>Khaalis</t>
        </is>
      </c>
    </row>
    <row r="47" ht="23.25" customHeight="1" s="52">
      <c r="A47" s="97" t="n">
        <v>46159</v>
      </c>
      <c r="B47" s="98" t="inlineStr">
        <is>
          <t>Vonis Consulting</t>
        </is>
      </c>
      <c r="C47" s="98" t="inlineStr">
        <is>
          <t>Khaalis Wooden, Iwona Przedpelska</t>
        </is>
      </c>
      <c r="D47" s="98" t="inlineStr">
        <is>
          <t>Sync</t>
        </is>
      </c>
      <c r="E47" s="98" t="inlineStr">
        <is>
          <t>BD Commission Agreement executed</t>
        </is>
      </c>
      <c r="F47" s="98" t="inlineStr">
        <is>
          <t>BD referral active</t>
        </is>
      </c>
      <c r="G47" s="98" t="inlineStr">
        <is>
          <t>Khaalis</t>
        </is>
      </c>
    </row>
    <row r="48" ht="34.5" customHeight="1" s="52">
      <c r="A48" s="97" t="n">
        <v>46160</v>
      </c>
      <c r="B48" s="98" t="inlineStr">
        <is>
          <t>Boots to Cyber (B2C)</t>
        </is>
      </c>
      <c r="C48" s="98" t="inlineStr">
        <is>
          <t>Khaalis Wooden</t>
        </is>
      </c>
      <c r="D48" s="98" t="inlineStr">
        <is>
          <t>Intro</t>
        </is>
      </c>
      <c r="E48" s="98" t="inlineStr">
        <is>
          <t>Cindy Gaddis; SAM expired Jan 2024; cyber staffing — no Healthcare IT overlap</t>
        </is>
      </c>
      <c r="F48" s="98" t="inlineStr">
        <is>
          <t>FILED — no follow-up</t>
        </is>
      </c>
      <c r="G48" s="98" t="inlineStr">
        <is>
          <t>Khaalis</t>
        </is>
      </c>
    </row>
    <row r="49" ht="34.5" customHeight="1" s="52">
      <c r="A49" s="97" t="n">
        <v>46162</v>
      </c>
      <c r="B49" s="98" t="inlineStr">
        <is>
          <t>AG Grace Inc.</t>
        </is>
      </c>
      <c r="C49" s="98" t="inlineStr">
        <is>
          <t>Khaalis Wooden, Susan Rouse, Graham</t>
        </is>
      </c>
      <c r="D49" s="98" t="inlineStr">
        <is>
          <t>Sync</t>
        </is>
      </c>
      <c r="E49" s="98" t="inlineStr">
        <is>
          <t>Weekly Wednesday partner sync — capture, compliance, set-aside coordination</t>
        </is>
      </c>
      <c r="F49" s="98" t="inlineStr">
        <is>
          <t>Continue weekly cadence</t>
        </is>
      </c>
      <c r="G49" s="98" t="inlineStr">
        <is>
          <t>Khaalis</t>
        </is>
      </c>
    </row>
    <row r="50" ht="23.25" customHeight="1" s="52">
      <c r="A50" s="97" t="n">
        <v>46162</v>
      </c>
      <c r="B50" s="98" t="inlineStr">
        <is>
          <t>Nacient LLC</t>
        </is>
      </c>
      <c r="C50" s="98" t="inlineStr">
        <is>
          <t>Khaalis Wooden, Karen Perez Diaz</t>
        </is>
      </c>
      <c r="D50" s="98" t="inlineStr">
        <is>
          <t>Intro</t>
        </is>
      </c>
      <c r="E50" s="98" t="inlineStr">
        <is>
          <t>IAM/Zero Trust/Azure WOSB/EDWOSB bench</t>
        </is>
      </c>
      <c r="F50" s="98" t="inlineStr">
        <is>
          <t>NDA executed</t>
        </is>
      </c>
      <c r="G50" s="98" t="inlineStr">
        <is>
          <t>Khaalis</t>
        </is>
      </c>
    </row>
    <row r="51" ht="23.25" customHeight="1" s="52">
      <c r="A51" s="97" t="n">
        <v>46163</v>
      </c>
      <c r="B51" s="98" t="inlineStr">
        <is>
          <t>OMNI (Jonathan Rendon)</t>
        </is>
      </c>
      <c r="C51" s="98" t="inlineStr">
        <is>
          <t>Khaalis Wooden, Jonathan Rendon</t>
        </is>
      </c>
      <c r="D51" s="98" t="inlineStr">
        <is>
          <t>Sync</t>
        </is>
      </c>
      <c r="E51" s="98" t="inlineStr">
        <is>
          <t>Warm intros to NCP + BAC on RHTP thread</t>
        </is>
      </c>
      <c r="F51" s="98" t="inlineStr">
        <is>
          <t>Schedule NCP + BAC capture calls</t>
        </is>
      </c>
      <c r="G51" s="98" t="inlineStr">
        <is>
          <t>Khaalis</t>
        </is>
      </c>
    </row>
    <row r="52" ht="34.5" customHeight="1" s="52">
      <c r="A52" s="97" t="n">
        <v>46168</v>
      </c>
      <c r="B52" s="98" t="inlineStr">
        <is>
          <t>Kundlas Consulting Group</t>
        </is>
      </c>
      <c r="C52" s="98" t="inlineStr">
        <is>
          <t>Khaalis Wooden, Sandeep Singh Kundlas, Aman Muskeen</t>
        </is>
      </c>
      <c r="D52" s="98" t="inlineStr">
        <is>
          <t>Discovery</t>
        </is>
      </c>
      <c r="E52" s="98" t="inlineStr">
        <is>
          <t>HUBZone + ISO 27001:2022; physical infra adjacency, IT-adjacent via Aman (AWS-SAA, CCSP)</t>
        </is>
      </c>
      <c r="F52" s="98" t="inlineStr">
        <is>
          <t>BENCH classification</t>
        </is>
      </c>
      <c r="G52" s="98" t="inlineStr">
        <is>
          <t>Khaalis</t>
        </is>
      </c>
    </row>
    <row r="53" ht="34.5" customHeight="1" s="52">
      <c r="A53" s="97" t="n">
        <v>46168</v>
      </c>
      <c r="B53" s="98" t="inlineStr">
        <is>
          <t>Skilak Consulting</t>
        </is>
      </c>
      <c r="C53" s="98" t="inlineStr">
        <is>
          <t>Khaalis Wooden, Faith Kannoju</t>
        </is>
      </c>
      <c r="D53" s="98" t="inlineStr">
        <is>
          <t>Discovery</t>
        </is>
      </c>
      <c r="E53" s="98" t="inlineStr">
        <is>
          <t>Call held as primary data event; CAGE 9Q428 confirmed; website offline; zero FPDS history</t>
        </is>
      </c>
      <c r="F53" s="98" t="inlineStr">
        <is>
          <t>WATCHLIST pending debrief</t>
        </is>
      </c>
      <c r="G53" s="98" t="inlineStr">
        <is>
          <t>Khaalis</t>
        </is>
      </c>
    </row>
    <row r="54" ht="34.5" customHeight="1" s="52">
      <c r="A54" s="97" t="n">
        <v>46169</v>
      </c>
      <c r="B54" s="98" t="inlineStr">
        <is>
          <t>AG Grace Inc.</t>
        </is>
      </c>
      <c r="C54" s="98" t="inlineStr">
        <is>
          <t>Khaalis Wooden, Susan Rouse, Graham</t>
        </is>
      </c>
      <c r="D54" s="98" t="inlineStr">
        <is>
          <t>Sync</t>
        </is>
      </c>
      <c r="E54" s="98" t="inlineStr">
        <is>
          <t>Weekly Wednesday partner sync — capture, compliance, set-aside coordination</t>
        </is>
      </c>
      <c r="F54" s="98" t="inlineStr">
        <is>
          <t>Continue weekly cadence</t>
        </is>
      </c>
      <c r="G54" s="98" t="inlineStr">
        <is>
          <t>Khaalis</t>
        </is>
      </c>
    </row>
    <row r="55" ht="34.5" customHeight="1" s="52">
      <c r="A55" s="97" t="n">
        <v>46171</v>
      </c>
      <c r="B55" s="98" t="inlineStr">
        <is>
          <t>C2C Service LLC</t>
        </is>
      </c>
      <c r="C55" s="98" t="inlineStr">
        <is>
          <t>Khaalis Wooden</t>
        </is>
      </c>
      <c r="D55" s="98" t="inlineStr">
        <is>
          <t>Intro</t>
        </is>
      </c>
      <c r="E55" s="98" t="inlineStr">
        <is>
          <t>Clarisa Trevino; Stage 2 hard fail — NAICS mismatch + Michigan only + zero federal IT PP</t>
        </is>
      </c>
      <c r="F55" s="98" t="inlineStr">
        <is>
          <t>FILED — no follow-up</t>
        </is>
      </c>
      <c r="G55" s="98" t="inlineStr">
        <is>
          <t>Khaalis</t>
        </is>
      </c>
    </row>
    <row r="56" ht="23.25" customHeight="1" s="52">
      <c r="A56" s="97" t="n">
        <v>46171</v>
      </c>
      <c r="B56" s="98" t="inlineStr">
        <is>
          <t>ImEx Cargo LLC</t>
        </is>
      </c>
      <c r="C56" s="98" t="inlineStr">
        <is>
          <t>Khaalis Wooden</t>
        </is>
      </c>
      <c r="D56" s="98" t="inlineStr">
        <is>
          <t>Intro</t>
        </is>
      </c>
      <c r="E56" s="98" t="inlineStr">
        <is>
          <t>Michelle DeFronzo; Gate 1 kill — freight logistics operator</t>
        </is>
      </c>
      <c r="F56" s="98" t="inlineStr">
        <is>
          <t>FILED — no follow-up</t>
        </is>
      </c>
      <c r="G56" s="98" t="inlineStr">
        <is>
          <t>Khaalis</t>
        </is>
      </c>
    </row>
    <row r="57" ht="34.5" customHeight="1" s="52">
      <c r="A57" s="97" t="n">
        <v>46174</v>
      </c>
      <c r="B57" s="98" t="inlineStr">
        <is>
          <t>National Consulting Partners (NCP)</t>
        </is>
      </c>
      <c r="C57" s="98" t="inlineStr">
        <is>
          <t>Khaalis Wooden</t>
        </is>
      </c>
      <c r="D57" s="98" t="inlineStr">
        <is>
          <t>Discovery</t>
        </is>
      </c>
      <c r="E57" s="98" t="inlineStr">
        <is>
          <t>Matthew Robinson; warm intro from OMNI; GSA MAS 54151HEAL prime = Refresh 31 bridge</t>
        </is>
      </c>
      <c r="F57" s="98" t="inlineStr">
        <is>
          <t>Schedule call within 5 BD days</t>
        </is>
      </c>
      <c r="G57" s="98" t="inlineStr">
        <is>
          <t>Khaalis</t>
        </is>
      </c>
    </row>
    <row r="58" ht="34.5" customHeight="1" s="52">
      <c r="A58" s="97" t="n">
        <v>46174</v>
      </c>
      <c r="B58" s="98" t="inlineStr">
        <is>
          <t>Ben Allegretti Consulting (BAC)</t>
        </is>
      </c>
      <c r="C58" s="98" t="inlineStr">
        <is>
          <t>Khaalis Wooden</t>
        </is>
      </c>
      <c r="D58" s="98" t="inlineStr">
        <is>
          <t>Discovery</t>
        </is>
      </c>
      <c r="E58" s="98" t="inlineStr">
        <is>
          <t>Rixon Rafter JD MA; VHA Digital Health Office IDIQ; 19-yr VHA informatics prime; score 8/8</t>
        </is>
      </c>
      <c r="F58" s="98" t="inlineStr">
        <is>
          <t>Schedule capture call</t>
        </is>
      </c>
      <c r="G58" s="98" t="inlineStr">
        <is>
          <t>Khaalis</t>
        </is>
      </c>
    </row>
    <row r="59" ht="34.5" customHeight="1" s="52">
      <c r="A59" s="97" t="n">
        <v>46174</v>
      </c>
      <c r="B59" s="98" t="inlineStr">
        <is>
          <t>Thorium One</t>
        </is>
      </c>
      <c r="C59" s="98" t="inlineStr">
        <is>
          <t>Khaalis Wooden</t>
        </is>
      </c>
      <c r="D59" s="98" t="inlineStr">
        <is>
          <t>Intro</t>
        </is>
      </c>
      <c r="E59" s="98" t="inlineStr">
        <is>
          <t>Chad; SDVOSB mgmt consulting / tech broker; Gate 1 kill on all 4 VBX lanes</t>
        </is>
      </c>
      <c r="F59" s="98" t="inlineStr">
        <is>
          <t>FILED — no follow-up</t>
        </is>
      </c>
      <c r="G59" s="98" t="inlineStr">
        <is>
          <t>Khaalis</t>
        </is>
      </c>
    </row>
    <row r="60" ht="15" customHeight="1" s="52">
      <c r="A60" s="97" t="n">
        <v>46181</v>
      </c>
      <c r="B60" s="98" t="inlineStr">
        <is>
          <t>Munis Healthcare Mgmt Solutions</t>
        </is>
      </c>
      <c r="C60" s="98" t="inlineStr">
        <is>
          <t>Khaalis Wooden</t>
        </is>
      </c>
      <c r="D60" s="98" t="inlineStr">
        <is>
          <t>Intro</t>
        </is>
      </c>
      <c r="E60" s="98" t="inlineStr">
        <is>
          <t>Kavitha Premanand; commercial life-sci advisory; Gate 1C kill all 4 lanes; no NDA exchanged</t>
        </is>
      </c>
      <c r="F60" s="98" t="inlineStr">
        <is>
          <t>FILED — quarterly re-screen on healthcare federal pivot</t>
        </is>
      </c>
      <c r="G60" s="98" t="inlineStr">
        <is>
          <t>Khaalis</t>
        </is>
      </c>
    </row>
    <row r="61" ht="15" customHeight="1" s="52">
      <c r="A61" s="97" t="n">
        <v>46239</v>
      </c>
      <c r="B61" s="98" t="inlineStr">
        <is>
          <t>TES Consultants</t>
        </is>
      </c>
      <c r="C61" s="98" t="inlineStr">
        <is>
          <t>Khaalis Wooden, Alan Sosa (TES)</t>
        </is>
      </c>
      <c r="D61" s="98" t="inlineStr">
        <is>
          <t>Sync</t>
        </is>
      </c>
      <c r="E61" s="98" t="inlineStr">
        <is>
          <t>Monthly TES × VBX sync — joint NO-BID on CBO SENTRY BPA (CB26-RFQ0012): Model C 5.35/10, net EV ~$3.3K/yr; required gap closures not secured</t>
        </is>
      </c>
      <c r="F61" s="98" t="inlineStr">
        <is>
          <t>Redirect TES to set-aside-accessible RFQs; ≥2 qualified pursuits scored by 8/31</t>
        </is>
      </c>
      <c r="G61" s="98" t="inlineStr">
        <is>
          <t>Khaalis</t>
        </is>
      </c>
    </row>
    <row r="62" ht="15" customHeight="1" s="52">
      <c r="A62" s="97" t="n">
        <v>46247</v>
      </c>
      <c r="B62" s="98" t="inlineStr">
        <is>
          <t>CAGAIL LLC</t>
        </is>
      </c>
      <c r="C62" s="98" t="inlineStr">
        <is>
          <t>Khaalis Wooden, Lavanya Kanchadapu</t>
        </is>
      </c>
      <c r="D62" s="98" t="inlineStr">
        <is>
          <t>Capture</t>
        </is>
      </c>
      <c r="E62" s="98" t="inlineStr">
        <is>
          <t>ICAT teaming call — structure changed materially: unidentified 'Shan' proposed as prime on an unsupported veteran-preference premise; VBX moved to an undefined sub scope; Lavanya drafting VBX content from cap statement pre-NDA. Risk memo filed; approved language block v1.0 produced (verbatim-use, exclusions bound).</t>
        </is>
      </c>
      <c r="F62" s="98" t="inlineStr">
        <is>
          <t>Execute CAGAIL NDA + scope memo 8/14; resolve 'Shan' identity/COI; DSBS WOSB/EDWOSB pull; KW solo go/no-go + joint-track continuation decisions EOD 8/14; drafting confined to Mon 8/17.</t>
        </is>
      </c>
      <c r="G62" s="98" t="inlineStr">
        <is>
          <t>Khaalis Wooden</t>
        </is>
      </c>
    </row>
    <row r="63" ht="15" customHeight="1" s="52">
      <c r="A63" s="97" t="n">
        <v>46247</v>
      </c>
      <c r="B63" s="98" t="inlineStr">
        <is>
          <t>RavenOne Enterprises LLC</t>
        </is>
      </c>
      <c r="C63" s="98" t="inlineStr">
        <is>
          <t>Khaalis Wooden, Charles M. Cedeno</t>
        </is>
      </c>
      <c r="D63" s="98" t="inlineStr">
        <is>
          <t>Intro</t>
        </is>
      </c>
      <c r="E63" s="98" t="inlineStr">
        <is>
          <t>New firm logged (HUBZone + SDVOSB self-reported, Puerto Rico). Disciplined public-info-only posture, opportunity-specific quals, NDA-aware. Four VA/CDC opportunities surfaced (Digital GI Bill RFI, PATS-R, KMTSS, BioDose); decision email covering all four drafted. Classification PENDING-GATE-0.</t>
        </is>
      </c>
      <c r="F63" s="98" t="inlineStr">
        <is>
          <t>Gate 0 (SAM/DSBS/VetCert) verification by 8/14; master-template NDA draft this week, countersign by 8/21; no classification advance until Gate 0 passes.</t>
        </is>
      </c>
      <c r="G63" s="98" t="inlineStr">
        <is>
          <t>Khaalis Wooden</t>
        </is>
      </c>
    </row>
    <row r="64" ht="15" customHeight="1" s="52">
      <c r="A64" s="102" t="n"/>
      <c r="B64" s="100" t="n"/>
      <c r="C64" s="100" t="n"/>
      <c r="D64" s="100" t="n"/>
      <c r="E64" s="100" t="n"/>
      <c r="F64" s="100" t="n"/>
      <c r="G64" s="100" t="n"/>
    </row>
    <row r="65" ht="15" customHeight="1" s="52">
      <c r="A65" s="102" t="n"/>
      <c r="B65" s="100" t="n"/>
      <c r="C65" s="100" t="n"/>
      <c r="D65" s="100" t="n"/>
      <c r="E65" s="100" t="n"/>
      <c r="F65" s="100" t="n"/>
      <c r="G65" s="100" t="n"/>
    </row>
    <row r="66" ht="15" customHeight="1" s="52">
      <c r="A66" s="102" t="n"/>
      <c r="B66" s="100" t="n"/>
      <c r="C66" s="100" t="n"/>
      <c r="D66" s="100" t="n"/>
      <c r="E66" s="100" t="n"/>
      <c r="F66" s="100" t="n"/>
      <c r="G66" s="100" t="n"/>
    </row>
    <row r="67" ht="15" customHeight="1" s="52">
      <c r="A67" s="102" t="n"/>
      <c r="B67" s="100" t="n"/>
      <c r="C67" s="100" t="n"/>
      <c r="D67" s="100" t="n"/>
      <c r="E67" s="100" t="n"/>
      <c r="F67" s="100" t="n"/>
      <c r="G67" s="100" t="n"/>
    </row>
    <row r="68" ht="15" customHeight="1" s="52">
      <c r="A68" s="102" t="n"/>
      <c r="B68" s="100" t="n"/>
      <c r="C68" s="100" t="n"/>
      <c r="D68" s="100" t="n"/>
      <c r="E68" s="100" t="n"/>
      <c r="F68" s="100" t="n"/>
      <c r="G68" s="100" t="n"/>
    </row>
    <row r="69" ht="15" customHeight="1" s="52">
      <c r="A69" s="102" t="n"/>
      <c r="B69" s="100" t="n"/>
      <c r="C69" s="100" t="n"/>
      <c r="D69" s="100" t="n"/>
      <c r="E69" s="100" t="n"/>
      <c r="F69" s="100" t="n"/>
      <c r="G69" s="100" t="n"/>
    </row>
    <row r="70" ht="15" customHeight="1" s="52">
      <c r="A70" s="102" t="n"/>
      <c r="B70" s="100" t="n"/>
      <c r="C70" s="100" t="n"/>
      <c r="D70" s="100" t="n"/>
      <c r="E70" s="100" t="n"/>
      <c r="F70" s="100" t="n"/>
      <c r="G70" s="100" t="n"/>
    </row>
    <row r="71" ht="15" customHeight="1" s="52">
      <c r="A71" s="102" t="n"/>
      <c r="B71" s="100" t="n"/>
      <c r="C71" s="100" t="n"/>
      <c r="D71" s="100" t="n"/>
      <c r="E71" s="100" t="n"/>
      <c r="F71" s="100" t="n"/>
      <c r="G71" s="100" t="n"/>
    </row>
    <row r="72" ht="15" customHeight="1" s="52">
      <c r="A72" s="102" t="n"/>
      <c r="B72" s="100" t="n"/>
      <c r="C72" s="100" t="n"/>
      <c r="D72" s="100" t="n"/>
      <c r="E72" s="100" t="n"/>
      <c r="F72" s="100" t="n"/>
      <c r="G72" s="100" t="n"/>
    </row>
    <row r="73" ht="15" customHeight="1" s="52">
      <c r="A73" s="102" t="n"/>
      <c r="B73" s="100" t="n"/>
      <c r="C73" s="100" t="n"/>
      <c r="D73" s="100" t="n"/>
      <c r="E73" s="100" t="n"/>
      <c r="F73" s="100" t="n"/>
      <c r="G73" s="100" t="n"/>
    </row>
    <row r="74" ht="15" customHeight="1" s="52">
      <c r="A74" s="102" t="n"/>
      <c r="B74" s="100" t="n"/>
      <c r="C74" s="100" t="n"/>
      <c r="D74" s="100" t="n"/>
      <c r="E74" s="100" t="n"/>
      <c r="F74" s="100" t="n"/>
      <c r="G74" s="100" t="n"/>
    </row>
    <row r="75" ht="15" customHeight="1" s="52">
      <c r="A75" s="102" t="n"/>
      <c r="B75" s="100" t="n"/>
      <c r="C75" s="100" t="n"/>
      <c r="D75" s="100" t="n"/>
      <c r="E75" s="100" t="n"/>
      <c r="F75" s="100" t="n"/>
      <c r="G75" s="100" t="n"/>
    </row>
    <row r="76" ht="15" customHeight="1" s="52">
      <c r="A76" s="102" t="n"/>
      <c r="B76" s="100" t="n"/>
      <c r="C76" s="100" t="n"/>
      <c r="D76" s="100" t="n"/>
      <c r="E76" s="100" t="n"/>
      <c r="F76" s="100" t="n"/>
      <c r="G76" s="100" t="n"/>
    </row>
    <row r="77" ht="15" customHeight="1" s="52">
      <c r="A77" s="102" t="n"/>
      <c r="B77" s="100" t="n"/>
      <c r="C77" s="100" t="n"/>
      <c r="D77" s="100" t="n"/>
      <c r="E77" s="100" t="n"/>
      <c r="F77" s="100" t="n"/>
      <c r="G77" s="100" t="n"/>
    </row>
    <row r="78" ht="15" customHeight="1" s="52">
      <c r="A78" s="102" t="n"/>
      <c r="B78" s="100" t="n"/>
      <c r="C78" s="100" t="n"/>
      <c r="D78" s="100" t="n"/>
      <c r="E78" s="100" t="n"/>
      <c r="F78" s="100" t="n"/>
      <c r="G78" s="100" t="n"/>
    </row>
    <row r="79" ht="15" customHeight="1" s="52">
      <c r="A79" s="102" t="n"/>
      <c r="B79" s="100" t="n"/>
      <c r="C79" s="100" t="n"/>
      <c r="D79" s="100" t="n"/>
      <c r="E79" s="100" t="n"/>
      <c r="F79" s="100" t="n"/>
      <c r="G79" s="100" t="n"/>
    </row>
    <row r="80" ht="15" customHeight="1" s="52">
      <c r="A80" s="102" t="n"/>
      <c r="B80" s="100" t="n"/>
      <c r="C80" s="100" t="n"/>
      <c r="D80" s="100" t="n"/>
      <c r="E80" s="100" t="n"/>
      <c r="F80" s="100" t="n"/>
      <c r="G80" s="100" t="n"/>
    </row>
    <row r="81" ht="15" customHeight="1" s="52">
      <c r="A81" s="102" t="n"/>
      <c r="B81" s="100" t="n"/>
      <c r="C81" s="100" t="n"/>
      <c r="D81" s="100" t="n"/>
      <c r="E81" s="100" t="n"/>
      <c r="F81" s="100" t="n"/>
      <c r="G81" s="100" t="n"/>
    </row>
    <row r="82" ht="15" customHeight="1" s="52">
      <c r="A82" s="102" t="n"/>
      <c r="B82" s="100" t="n"/>
      <c r="C82" s="100" t="n"/>
      <c r="D82" s="100" t="n"/>
      <c r="E82" s="100" t="n"/>
      <c r="F82" s="100" t="n"/>
      <c r="G82" s="100" t="n"/>
    </row>
    <row r="83" ht="15" customHeight="1" s="52">
      <c r="A83" s="102" t="n"/>
      <c r="B83" s="100" t="n"/>
      <c r="C83" s="100" t="n"/>
      <c r="D83" s="100" t="n"/>
      <c r="E83" s="100" t="n"/>
      <c r="F83" s="100" t="n"/>
      <c r="G83" s="100" t="n"/>
    </row>
    <row r="84" ht="15" customHeight="1" s="52">
      <c r="A84" s="102" t="n"/>
      <c r="B84" s="100" t="n"/>
      <c r="C84" s="100" t="n"/>
      <c r="D84" s="100" t="n"/>
      <c r="E84" s="100" t="n"/>
      <c r="F84" s="100" t="n"/>
      <c r="G84" s="100" t="n"/>
    </row>
    <row r="85" ht="15" customHeight="1" s="52">
      <c r="A85" s="102" t="n"/>
      <c r="B85" s="100" t="n"/>
      <c r="C85" s="100" t="n"/>
      <c r="D85" s="100" t="n"/>
      <c r="E85" s="100" t="n"/>
      <c r="F85" s="100" t="n"/>
      <c r="G85" s="100" t="n"/>
    </row>
    <row r="86" ht="15" customHeight="1" s="52">
      <c r="A86" s="102" t="n"/>
      <c r="B86" s="100" t="n"/>
      <c r="C86" s="100" t="n"/>
      <c r="D86" s="100" t="n"/>
      <c r="E86" s="100" t="n"/>
      <c r="F86" s="100" t="n"/>
      <c r="G86" s="100" t="n"/>
    </row>
    <row r="87" ht="15" customHeight="1" s="52">
      <c r="A87" s="102" t="n"/>
      <c r="B87" s="100" t="n"/>
      <c r="C87" s="100" t="n"/>
      <c r="D87" s="100" t="n"/>
      <c r="E87" s="100" t="n"/>
      <c r="F87" s="100" t="n"/>
      <c r="G87" s="100" t="n"/>
    </row>
    <row r="88" ht="15" customHeight="1" s="52">
      <c r="A88" s="102" t="n"/>
      <c r="B88" s="100" t="n"/>
      <c r="C88" s="100" t="n"/>
      <c r="D88" s="100" t="n"/>
      <c r="E88" s="100" t="n"/>
      <c r="F88" s="100" t="n"/>
      <c r="G88" s="100" t="n"/>
    </row>
    <row r="89" ht="15" customHeight="1" s="52">
      <c r="A89" s="102" t="n"/>
      <c r="B89" s="100" t="n"/>
      <c r="C89" s="100" t="n"/>
      <c r="D89" s="100" t="n"/>
      <c r="E89" s="100" t="n"/>
      <c r="F89" s="100" t="n"/>
      <c r="G89" s="100" t="n"/>
    </row>
    <row r="90" ht="15" customHeight="1" s="52">
      <c r="A90" s="102" t="n"/>
      <c r="B90" s="100" t="n"/>
      <c r="C90" s="100" t="n"/>
      <c r="D90" s="100" t="n"/>
      <c r="E90" s="100" t="n"/>
      <c r="F90" s="100" t="n"/>
      <c r="G90" s="100" t="n"/>
    </row>
    <row r="91" ht="15" customHeight="1" s="52">
      <c r="A91" s="102" t="n"/>
      <c r="B91" s="100" t="n"/>
      <c r="C91" s="100" t="n"/>
      <c r="D91" s="100" t="n"/>
      <c r="E91" s="100" t="n"/>
      <c r="F91" s="100" t="n"/>
      <c r="G91" s="100" t="n"/>
    </row>
    <row r="92" ht="15" customHeight="1" s="52">
      <c r="A92" s="102" t="n"/>
      <c r="B92" s="100" t="n"/>
      <c r="C92" s="100" t="n"/>
      <c r="D92" s="100" t="n"/>
      <c r="E92" s="100" t="n"/>
      <c r="F92" s="100" t="n"/>
      <c r="G92" s="100" t="n"/>
    </row>
    <row r="93" ht="15" customHeight="1" s="52">
      <c r="A93" s="102" t="n"/>
      <c r="B93" s="100" t="n"/>
      <c r="C93" s="100" t="n"/>
      <c r="D93" s="100" t="n"/>
      <c r="E93" s="100" t="n"/>
      <c r="F93" s="100" t="n"/>
      <c r="G93" s="100" t="n"/>
    </row>
    <row r="94" ht="15" customHeight="1" s="52">
      <c r="A94" s="102" t="n"/>
      <c r="B94" s="100" t="n"/>
      <c r="C94" s="100" t="n"/>
      <c r="D94" s="100" t="n"/>
      <c r="E94" s="100" t="n"/>
      <c r="F94" s="100" t="n"/>
      <c r="G94" s="100" t="n"/>
    </row>
    <row r="95" ht="15" customHeight="1" s="52">
      <c r="A95" s="102" t="n"/>
      <c r="B95" s="100" t="n"/>
      <c r="C95" s="100" t="n"/>
      <c r="D95" s="100" t="n"/>
      <c r="E95" s="100" t="n"/>
      <c r="F95" s="100" t="n"/>
      <c r="G95" s="100" t="n"/>
    </row>
    <row r="96" ht="15" customHeight="1" s="52">
      <c r="A96" s="102" t="n"/>
      <c r="B96" s="100" t="n"/>
      <c r="C96" s="100" t="n"/>
      <c r="D96" s="100" t="n"/>
      <c r="E96" s="100" t="n"/>
      <c r="F96" s="100" t="n"/>
      <c r="G96" s="100" t="n"/>
    </row>
    <row r="97" ht="15" customHeight="1" s="52">
      <c r="A97" s="102" t="n"/>
      <c r="B97" s="100" t="n"/>
      <c r="C97" s="100" t="n"/>
      <c r="D97" s="100" t="n"/>
      <c r="E97" s="100" t="n"/>
      <c r="F97" s="100" t="n"/>
      <c r="G97" s="100" t="n"/>
    </row>
    <row r="98" ht="15" customHeight="1" s="52">
      <c r="A98" s="102" t="n"/>
      <c r="B98" s="100" t="n"/>
      <c r="C98" s="100" t="n"/>
      <c r="D98" s="100" t="n"/>
      <c r="E98" s="100" t="n"/>
      <c r="F98" s="100" t="n"/>
      <c r="G98" s="100" t="n"/>
    </row>
    <row r="99" ht="15" customHeight="1" s="52">
      <c r="A99" s="102" t="n"/>
      <c r="B99" s="100" t="n"/>
      <c r="C99" s="100" t="n"/>
      <c r="D99" s="100" t="n"/>
      <c r="E99" s="100" t="n"/>
      <c r="F99" s="100" t="n"/>
      <c r="G99" s="100" t="n"/>
    </row>
    <row r="100" ht="15" customHeight="1" s="52">
      <c r="A100" s="102" t="n"/>
      <c r="B100" s="100" t="n"/>
      <c r="C100" s="100" t="n"/>
      <c r="D100" s="100" t="n"/>
      <c r="E100" s="100" t="n"/>
      <c r="F100" s="100" t="n"/>
      <c r="G100" s="100" t="n"/>
    </row>
    <row r="101" ht="15" customHeight="1" s="52">
      <c r="A101" s="102" t="n"/>
      <c r="B101" s="100" t="n"/>
      <c r="C101" s="100" t="n"/>
      <c r="D101" s="100" t="n"/>
      <c r="E101" s="100" t="n"/>
      <c r="F101" s="100" t="n"/>
      <c r="G101" s="100" t="n"/>
    </row>
    <row r="102" ht="15" customHeight="1" s="52">
      <c r="A102" s="102" t="n"/>
      <c r="B102" s="100" t="n"/>
      <c r="C102" s="100" t="n"/>
      <c r="D102" s="100" t="n"/>
      <c r="E102" s="100" t="n"/>
      <c r="F102" s="100" t="n"/>
      <c r="G102" s="100" t="n"/>
    </row>
    <row r="103" ht="15" customHeight="1" s="52">
      <c r="A103" s="102" t="n"/>
      <c r="B103" s="100" t="n"/>
      <c r="C103" s="100" t="n"/>
      <c r="D103" s="100" t="n"/>
      <c r="E103" s="100" t="n"/>
      <c r="F103" s="100" t="n"/>
      <c r="G103" s="100" t="n"/>
    </row>
    <row r="104" ht="15" customHeight="1" s="52">
      <c r="A104" s="102" t="n"/>
      <c r="B104" s="100" t="n"/>
      <c r="C104" s="100" t="n"/>
      <c r="D104" s="100" t="n"/>
      <c r="E104" s="100" t="n"/>
      <c r="F104" s="100" t="n"/>
      <c r="G104" s="100" t="n"/>
    </row>
    <row r="105" ht="15" customHeight="1" s="52">
      <c r="A105" s="102" t="n"/>
      <c r="B105" s="100" t="n"/>
      <c r="C105" s="100" t="n"/>
      <c r="D105" s="100" t="n"/>
      <c r="E105" s="100" t="n"/>
      <c r="F105" s="100" t="n"/>
      <c r="G105" s="100" t="n"/>
    </row>
    <row r="106" ht="15" customHeight="1" s="52">
      <c r="A106" s="102" t="n"/>
      <c r="B106" s="100" t="n"/>
      <c r="C106" s="100" t="n"/>
      <c r="D106" s="100" t="n"/>
      <c r="E106" s="100" t="n"/>
      <c r="F106" s="100" t="n"/>
      <c r="G106" s="100" t="n"/>
    </row>
    <row r="107" ht="15" customHeight="1" s="52">
      <c r="A107" s="102" t="n"/>
      <c r="B107" s="100" t="n"/>
      <c r="C107" s="100" t="n"/>
      <c r="D107" s="100" t="n"/>
      <c r="E107" s="100" t="n"/>
      <c r="F107" s="100" t="n"/>
      <c r="G107" s="100" t="n"/>
    </row>
    <row r="108" ht="15" customHeight="1" s="52">
      <c r="A108" s="102" t="n"/>
      <c r="B108" s="100" t="n"/>
      <c r="C108" s="100" t="n"/>
      <c r="D108" s="100" t="n"/>
      <c r="E108" s="100" t="n"/>
      <c r="F108" s="100" t="n"/>
      <c r="G108" s="100" t="n"/>
    </row>
    <row r="109" ht="15" customHeight="1" s="52">
      <c r="A109" s="102" t="n"/>
      <c r="B109" s="100" t="n"/>
      <c r="C109" s="100" t="n"/>
      <c r="D109" s="100" t="n"/>
      <c r="E109" s="100" t="n"/>
      <c r="F109" s="100" t="n"/>
      <c r="G109" s="100" t="n"/>
    </row>
    <row r="110" ht="15" customHeight="1" s="52">
      <c r="A110" s="102" t="n"/>
      <c r="B110" s="100" t="n"/>
      <c r="C110" s="100" t="n"/>
      <c r="D110" s="100" t="n"/>
      <c r="E110" s="100" t="n"/>
      <c r="F110" s="100" t="n"/>
      <c r="G110" s="100" t="n"/>
    </row>
    <row r="111" ht="15" customHeight="1" s="52">
      <c r="A111" s="102" t="n"/>
      <c r="B111" s="100" t="n"/>
      <c r="C111" s="100" t="n"/>
      <c r="D111" s="100" t="n"/>
      <c r="E111" s="100" t="n"/>
      <c r="F111" s="100" t="n"/>
      <c r="G111" s="100" t="n"/>
    </row>
    <row r="112" ht="15" customHeight="1" s="52">
      <c r="A112" s="102" t="n"/>
      <c r="B112" s="100" t="n"/>
      <c r="C112" s="100" t="n"/>
      <c r="D112" s="100" t="n"/>
      <c r="E112" s="100" t="n"/>
      <c r="F112" s="100" t="n"/>
      <c r="G112" s="100" t="n"/>
    </row>
    <row r="113" ht="15" customHeight="1" s="52">
      <c r="A113" s="102" t="n"/>
      <c r="B113" s="100" t="n"/>
      <c r="C113" s="100" t="n"/>
      <c r="D113" s="100" t="n"/>
      <c r="E113" s="100" t="n"/>
      <c r="F113" s="100" t="n"/>
      <c r="G113" s="100" t="n"/>
    </row>
    <row r="114" ht="15" customHeight="1" s="52">
      <c r="A114" s="102" t="n"/>
      <c r="B114" s="100" t="n"/>
      <c r="C114" s="100" t="n"/>
      <c r="D114" s="100" t="n"/>
      <c r="E114" s="100" t="n"/>
      <c r="F114" s="100" t="n"/>
      <c r="G114" s="100" t="n"/>
    </row>
    <row r="115" ht="15" customHeight="1" s="52">
      <c r="A115" s="102" t="n"/>
      <c r="B115" s="100" t="n"/>
      <c r="C115" s="100" t="n"/>
      <c r="D115" s="100" t="n"/>
      <c r="E115" s="100" t="n"/>
      <c r="F115" s="100" t="n"/>
      <c r="G115" s="100" t="n"/>
    </row>
    <row r="116" ht="15" customHeight="1" s="52">
      <c r="A116" s="102" t="n"/>
      <c r="B116" s="100" t="n"/>
      <c r="C116" s="100" t="n"/>
      <c r="D116" s="100" t="n"/>
      <c r="E116" s="100" t="n"/>
      <c r="F116" s="100" t="n"/>
      <c r="G116" s="100" t="n"/>
    </row>
    <row r="117" ht="15" customHeight="1" s="52">
      <c r="A117" s="102" t="n"/>
      <c r="B117" s="100" t="n"/>
      <c r="C117" s="100" t="n"/>
      <c r="D117" s="100" t="n"/>
      <c r="E117" s="100" t="n"/>
      <c r="F117" s="100" t="n"/>
      <c r="G117" s="100" t="n"/>
    </row>
    <row r="118" ht="15" customHeight="1" s="52">
      <c r="A118" s="102" t="n"/>
      <c r="B118" s="100" t="n"/>
      <c r="C118" s="100" t="n"/>
      <c r="D118" s="100" t="n"/>
      <c r="E118" s="100" t="n"/>
      <c r="F118" s="100" t="n"/>
      <c r="G118" s="100" t="n"/>
    </row>
    <row r="119" ht="15" customHeight="1" s="52">
      <c r="A119" s="102" t="n"/>
      <c r="B119" s="100" t="n"/>
      <c r="C119" s="100" t="n"/>
      <c r="D119" s="100" t="n"/>
      <c r="E119" s="100" t="n"/>
      <c r="F119" s="100" t="n"/>
      <c r="G119" s="100" t="n"/>
    </row>
    <row r="120" ht="15" customHeight="1" s="52">
      <c r="A120" s="102" t="n"/>
      <c r="B120" s="100" t="n"/>
      <c r="C120" s="100" t="n"/>
      <c r="D120" s="100" t="n"/>
      <c r="E120" s="100" t="n"/>
      <c r="F120" s="100" t="n"/>
      <c r="G120" s="100" t="n"/>
    </row>
    <row r="121" ht="15" customHeight="1" s="52">
      <c r="A121" s="102" t="n"/>
      <c r="B121" s="100" t="n"/>
      <c r="C121" s="100" t="n"/>
      <c r="D121" s="100" t="n"/>
      <c r="E121" s="100" t="n"/>
      <c r="F121" s="100" t="n"/>
      <c r="G121" s="100" t="n"/>
    </row>
    <row r="122" ht="15" customHeight="1" s="52">
      <c r="A122" s="102" t="n"/>
      <c r="B122" s="100" t="n"/>
      <c r="C122" s="100" t="n"/>
      <c r="D122" s="100" t="n"/>
      <c r="E122" s="100" t="n"/>
      <c r="F122" s="100" t="n"/>
      <c r="G122" s="100" t="n"/>
    </row>
    <row r="123" ht="15" customHeight="1" s="52">
      <c r="A123" s="102" t="n"/>
      <c r="B123" s="100" t="n"/>
      <c r="C123" s="100" t="n"/>
      <c r="D123" s="100" t="n"/>
      <c r="E123" s="100" t="n"/>
      <c r="F123" s="100" t="n"/>
      <c r="G123" s="100" t="n"/>
    </row>
    <row r="124" ht="15" customHeight="1" s="52">
      <c r="A124" s="102" t="n"/>
      <c r="B124" s="100" t="n"/>
      <c r="C124" s="100" t="n"/>
      <c r="D124" s="100" t="n"/>
      <c r="E124" s="100" t="n"/>
      <c r="F124" s="100" t="n"/>
      <c r="G124" s="100" t="n"/>
    </row>
    <row r="125" ht="15" customHeight="1" s="52">
      <c r="A125" s="102" t="n"/>
      <c r="B125" s="100" t="n"/>
      <c r="C125" s="100" t="n"/>
      <c r="D125" s="100" t="n"/>
      <c r="E125" s="100" t="n"/>
      <c r="F125" s="100" t="n"/>
      <c r="G125" s="100" t="n"/>
    </row>
    <row r="126" ht="15" customHeight="1" s="52">
      <c r="A126" s="102" t="n"/>
      <c r="B126" s="100" t="n"/>
      <c r="C126" s="100" t="n"/>
      <c r="D126" s="100" t="n"/>
      <c r="E126" s="100" t="n"/>
      <c r="F126" s="100" t="n"/>
      <c r="G126" s="100" t="n"/>
    </row>
    <row r="127" ht="15" customHeight="1" s="52">
      <c r="A127" s="102" t="n"/>
      <c r="B127" s="100" t="n"/>
      <c r="C127" s="100" t="n"/>
      <c r="D127" s="100" t="n"/>
      <c r="E127" s="100" t="n"/>
      <c r="F127" s="100" t="n"/>
      <c r="G127" s="100" t="n"/>
    </row>
    <row r="128" ht="15" customHeight="1" s="52">
      <c r="A128" s="102" t="n"/>
      <c r="B128" s="100" t="n"/>
      <c r="C128" s="100" t="n"/>
      <c r="D128" s="100" t="n"/>
      <c r="E128" s="100" t="n"/>
      <c r="F128" s="100" t="n"/>
      <c r="G128" s="100" t="n"/>
    </row>
    <row r="129" ht="15" customHeight="1" s="52">
      <c r="A129" s="102" t="n"/>
      <c r="B129" s="100" t="n"/>
      <c r="C129" s="100" t="n"/>
      <c r="D129" s="100" t="n"/>
      <c r="E129" s="100" t="n"/>
      <c r="F129" s="100" t="n"/>
      <c r="G129" s="100" t="n"/>
    </row>
    <row r="130" ht="15" customHeight="1" s="52">
      <c r="A130" s="102" t="n"/>
      <c r="B130" s="100" t="n"/>
      <c r="C130" s="100" t="n"/>
      <c r="D130" s="100" t="n"/>
      <c r="E130" s="100" t="n"/>
      <c r="F130" s="100" t="n"/>
      <c r="G130" s="100" t="n"/>
    </row>
    <row r="131" ht="15" customHeight="1" s="52">
      <c r="A131" s="102" t="n"/>
      <c r="B131" s="100" t="n"/>
      <c r="C131" s="100" t="n"/>
      <c r="D131" s="100" t="n"/>
      <c r="E131" s="100" t="n"/>
      <c r="F131" s="100" t="n"/>
      <c r="G131" s="100" t="n"/>
    </row>
    <row r="132" ht="15" customHeight="1" s="52">
      <c r="A132" s="102" t="n"/>
      <c r="B132" s="100" t="n"/>
      <c r="C132" s="100" t="n"/>
      <c r="D132" s="100" t="n"/>
      <c r="E132" s="100" t="n"/>
      <c r="F132" s="100" t="n"/>
      <c r="G132" s="100" t="n"/>
    </row>
    <row r="133" ht="15" customHeight="1" s="52">
      <c r="A133" s="102" t="n"/>
      <c r="B133" s="100" t="n"/>
      <c r="C133" s="100" t="n"/>
      <c r="D133" s="100" t="n"/>
      <c r="E133" s="100" t="n"/>
      <c r="F133" s="100" t="n"/>
      <c r="G133" s="100" t="n"/>
    </row>
    <row r="134" ht="15" customHeight="1" s="52">
      <c r="A134" s="102" t="n"/>
      <c r="B134" s="100" t="n"/>
      <c r="C134" s="100" t="n"/>
      <c r="D134" s="100" t="n"/>
      <c r="E134" s="100" t="n"/>
      <c r="F134" s="100" t="n"/>
      <c r="G134" s="100" t="n"/>
    </row>
    <row r="135" ht="15" customHeight="1" s="52">
      <c r="A135" s="102" t="n"/>
      <c r="B135" s="100" t="n"/>
      <c r="C135" s="100" t="n"/>
      <c r="D135" s="100" t="n"/>
      <c r="E135" s="100" t="n"/>
      <c r="F135" s="100" t="n"/>
      <c r="G135" s="100" t="n"/>
    </row>
    <row r="136" ht="15" customHeight="1" s="52">
      <c r="A136" s="102" t="n"/>
      <c r="B136" s="100" t="n"/>
      <c r="C136" s="100" t="n"/>
      <c r="D136" s="100" t="n"/>
      <c r="E136" s="100" t="n"/>
      <c r="F136" s="100" t="n"/>
      <c r="G136" s="100" t="n"/>
    </row>
    <row r="137" ht="15" customHeight="1" s="52">
      <c r="A137" s="102" t="n"/>
      <c r="B137" s="100" t="n"/>
      <c r="C137" s="100" t="n"/>
      <c r="D137" s="100" t="n"/>
      <c r="E137" s="100" t="n"/>
      <c r="F137" s="100" t="n"/>
      <c r="G137" s="100" t="n"/>
    </row>
    <row r="138" ht="15" customHeight="1" s="52">
      <c r="A138" s="102" t="n"/>
      <c r="B138" s="100" t="n"/>
      <c r="C138" s="100" t="n"/>
      <c r="D138" s="100" t="n"/>
      <c r="E138" s="100" t="n"/>
      <c r="F138" s="100" t="n"/>
      <c r="G138" s="100" t="n"/>
    </row>
    <row r="139" ht="15" customHeight="1" s="52">
      <c r="A139" s="102" t="n"/>
      <c r="B139" s="100" t="n"/>
      <c r="C139" s="100" t="n"/>
      <c r="D139" s="100" t="n"/>
      <c r="E139" s="100" t="n"/>
      <c r="F139" s="100" t="n"/>
      <c r="G139" s="100" t="n"/>
    </row>
    <row r="140" ht="15" customHeight="1" s="52">
      <c r="A140" s="102" t="n"/>
      <c r="B140" s="100" t="n"/>
      <c r="C140" s="100" t="n"/>
      <c r="D140" s="100" t="n"/>
      <c r="E140" s="100" t="n"/>
      <c r="F140" s="100" t="n"/>
      <c r="G140" s="100" t="n"/>
    </row>
    <row r="141" ht="15" customHeight="1" s="52">
      <c r="A141" s="102" t="n"/>
      <c r="B141" s="100" t="n"/>
      <c r="C141" s="100" t="n"/>
      <c r="D141" s="100" t="n"/>
      <c r="E141" s="100" t="n"/>
      <c r="F141" s="100" t="n"/>
      <c r="G141" s="100" t="n"/>
    </row>
    <row r="142" ht="15" customHeight="1" s="52">
      <c r="A142" s="102" t="n"/>
      <c r="B142" s="100" t="n"/>
      <c r="C142" s="100" t="n"/>
      <c r="D142" s="100" t="n"/>
      <c r="E142" s="100" t="n"/>
      <c r="F142" s="100" t="n"/>
      <c r="G142" s="100" t="n"/>
    </row>
    <row r="143" ht="15" customHeight="1" s="52">
      <c r="A143" s="102" t="n"/>
      <c r="B143" s="100" t="n"/>
      <c r="C143" s="100" t="n"/>
      <c r="D143" s="100" t="n"/>
      <c r="E143" s="100" t="n"/>
      <c r="F143" s="100" t="n"/>
      <c r="G143" s="100" t="n"/>
    </row>
    <row r="144" ht="15" customHeight="1" s="52">
      <c r="A144" s="102" t="n"/>
      <c r="B144" s="100" t="n"/>
      <c r="C144" s="100" t="n"/>
      <c r="D144" s="100" t="n"/>
      <c r="E144" s="100" t="n"/>
      <c r="F144" s="100" t="n"/>
      <c r="G144" s="100" t="n"/>
    </row>
    <row r="145" ht="15" customHeight="1" s="52">
      <c r="A145" s="102" t="n"/>
      <c r="B145" s="100" t="n"/>
      <c r="C145" s="100" t="n"/>
      <c r="D145" s="100" t="n"/>
      <c r="E145" s="100" t="n"/>
      <c r="F145" s="100" t="n"/>
      <c r="G145" s="100" t="n"/>
    </row>
    <row r="146" ht="15" customHeight="1" s="52">
      <c r="A146" s="102" t="n"/>
      <c r="B146" s="100" t="n"/>
      <c r="C146" s="100" t="n"/>
      <c r="D146" s="100" t="n"/>
      <c r="E146" s="100" t="n"/>
      <c r="F146" s="100" t="n"/>
      <c r="G146" s="100" t="n"/>
    </row>
    <row r="147" ht="15" customHeight="1" s="52">
      <c r="A147" s="102" t="n"/>
      <c r="B147" s="100" t="n"/>
      <c r="C147" s="100" t="n"/>
      <c r="D147" s="100" t="n"/>
      <c r="E147" s="100" t="n"/>
      <c r="F147" s="100" t="n"/>
      <c r="G147" s="100" t="n"/>
    </row>
    <row r="148" ht="15" customHeight="1" s="52">
      <c r="A148" s="102" t="n"/>
      <c r="B148" s="100" t="n"/>
      <c r="C148" s="100" t="n"/>
      <c r="D148" s="100" t="n"/>
      <c r="E148" s="100" t="n"/>
      <c r="F148" s="100" t="n"/>
      <c r="G148" s="100" t="n"/>
    </row>
    <row r="149" ht="15" customHeight="1" s="52">
      <c r="A149" s="102" t="n"/>
      <c r="B149" s="100" t="n"/>
      <c r="C149" s="100" t="n"/>
      <c r="D149" s="100" t="n"/>
      <c r="E149" s="100" t="n"/>
      <c r="F149" s="100" t="n"/>
      <c r="G149" s="100" t="n"/>
    </row>
    <row r="150" ht="15" customHeight="1" s="52">
      <c r="A150" s="102" t="n"/>
      <c r="B150" s="100" t="n"/>
      <c r="C150" s="100" t="n"/>
      <c r="D150" s="100" t="n"/>
      <c r="E150" s="100" t="n"/>
      <c r="F150" s="100" t="n"/>
      <c r="G150" s="100" t="n"/>
    </row>
    <row r="151" ht="15" customHeight="1" s="52">
      <c r="A151" s="102" t="n"/>
      <c r="B151" s="100" t="n"/>
      <c r="C151" s="100" t="n"/>
      <c r="D151" s="100" t="n"/>
      <c r="E151" s="100" t="n"/>
      <c r="F151" s="100" t="n"/>
      <c r="G151" s="100" t="n"/>
    </row>
    <row r="152" ht="15" customHeight="1" s="52">
      <c r="A152" s="102" t="n"/>
      <c r="B152" s="100" t="n"/>
      <c r="C152" s="100" t="n"/>
      <c r="D152" s="100" t="n"/>
      <c r="E152" s="100" t="n"/>
      <c r="F152" s="100" t="n"/>
      <c r="G152" s="100" t="n"/>
    </row>
    <row r="153" ht="15" customHeight="1" s="52">
      <c r="A153" s="102" t="n"/>
      <c r="B153" s="100" t="n"/>
      <c r="C153" s="100" t="n"/>
      <c r="D153" s="100" t="n"/>
      <c r="E153" s="100" t="n"/>
      <c r="F153" s="100" t="n"/>
      <c r="G153" s="100" t="n"/>
    </row>
    <row r="154" ht="15" customHeight="1" s="52">
      <c r="A154" s="102" t="n"/>
      <c r="B154" s="100" t="n"/>
      <c r="C154" s="100" t="n"/>
      <c r="D154" s="100" t="n"/>
      <c r="E154" s="100" t="n"/>
      <c r="F154" s="100" t="n"/>
      <c r="G154" s="100" t="n"/>
    </row>
    <row r="155" ht="15" customHeight="1" s="52">
      <c r="A155" s="102" t="n"/>
      <c r="B155" s="100" t="n"/>
      <c r="C155" s="100" t="n"/>
      <c r="D155" s="100" t="n"/>
      <c r="E155" s="100" t="n"/>
      <c r="F155" s="100" t="n"/>
      <c r="G155" s="100" t="n"/>
    </row>
    <row r="156" ht="15" customHeight="1" s="52">
      <c r="A156" s="102" t="n"/>
      <c r="B156" s="100" t="n"/>
      <c r="C156" s="100" t="n"/>
      <c r="D156" s="100" t="n"/>
      <c r="E156" s="100" t="n"/>
      <c r="F156" s="100" t="n"/>
      <c r="G156" s="100" t="n"/>
    </row>
    <row r="157" ht="15" customHeight="1" s="52">
      <c r="A157" s="102" t="n"/>
      <c r="B157" s="100" t="n"/>
      <c r="C157" s="100" t="n"/>
      <c r="D157" s="100" t="n"/>
      <c r="E157" s="100" t="n"/>
      <c r="F157" s="100" t="n"/>
      <c r="G157" s="100" t="n"/>
    </row>
    <row r="158" ht="15" customHeight="1" s="52">
      <c r="A158" s="102" t="n"/>
      <c r="B158" s="100" t="n"/>
      <c r="C158" s="100" t="n"/>
      <c r="D158" s="100" t="n"/>
      <c r="E158" s="100" t="n"/>
      <c r="F158" s="100" t="n"/>
      <c r="G158" s="100" t="n"/>
    </row>
    <row r="159" ht="15" customHeight="1" s="52">
      <c r="A159" s="102" t="n"/>
      <c r="B159" s="100" t="n"/>
      <c r="C159" s="100" t="n"/>
      <c r="D159" s="100" t="n"/>
      <c r="E159" s="100" t="n"/>
      <c r="F159" s="100" t="n"/>
      <c r="G159" s="100" t="n"/>
    </row>
    <row r="160" ht="15" customHeight="1" s="52">
      <c r="A160" s="102" t="n"/>
      <c r="B160" s="100" t="n"/>
      <c r="C160" s="100" t="n"/>
      <c r="D160" s="100" t="n"/>
      <c r="E160" s="100" t="n"/>
      <c r="F160" s="100" t="n"/>
      <c r="G160" s="100" t="n"/>
    </row>
    <row r="161" ht="15" customHeight="1" s="52">
      <c r="A161" s="102" t="n"/>
      <c r="B161" s="100" t="n"/>
      <c r="C161" s="100" t="n"/>
      <c r="D161" s="100" t="n"/>
      <c r="E161" s="100" t="n"/>
      <c r="F161" s="100" t="n"/>
      <c r="G161" s="100" t="n"/>
    </row>
    <row r="162" ht="15" customHeight="1" s="52">
      <c r="A162" s="102" t="n"/>
      <c r="B162" s="100" t="n"/>
      <c r="C162" s="100" t="n"/>
      <c r="D162" s="100" t="n"/>
      <c r="E162" s="100" t="n"/>
      <c r="F162" s="100" t="n"/>
      <c r="G162" s="100" t="n"/>
    </row>
    <row r="163" ht="15" customHeight="1" s="52">
      <c r="A163" s="102" t="n"/>
      <c r="B163" s="100" t="n"/>
      <c r="C163" s="100" t="n"/>
      <c r="D163" s="100" t="n"/>
      <c r="E163" s="100" t="n"/>
      <c r="F163" s="100" t="n"/>
      <c r="G163" s="100" t="n"/>
    </row>
    <row r="164" ht="15" customHeight="1" s="52">
      <c r="A164" s="102" t="n"/>
      <c r="B164" s="100" t="n"/>
      <c r="C164" s="100" t="n"/>
      <c r="D164" s="100" t="n"/>
      <c r="E164" s="100" t="n"/>
      <c r="F164" s="100" t="n"/>
      <c r="G164" s="100" t="n"/>
    </row>
    <row r="165" ht="15" customHeight="1" s="52">
      <c r="A165" s="102" t="n"/>
      <c r="B165" s="100" t="n"/>
      <c r="C165" s="100" t="n"/>
      <c r="D165" s="100" t="n"/>
      <c r="E165" s="100" t="n"/>
      <c r="F165" s="100" t="n"/>
      <c r="G165" s="100" t="n"/>
    </row>
    <row r="166" ht="15" customHeight="1" s="52">
      <c r="A166" s="102" t="n"/>
      <c r="B166" s="100" t="n"/>
      <c r="C166" s="100" t="n"/>
      <c r="D166" s="100" t="n"/>
      <c r="E166" s="100" t="n"/>
      <c r="F166" s="100" t="n"/>
      <c r="G166" s="100" t="n"/>
    </row>
    <row r="167" ht="15" customHeight="1" s="52">
      <c r="A167" s="102" t="n"/>
      <c r="B167" s="100" t="n"/>
      <c r="C167" s="100" t="n"/>
      <c r="D167" s="100" t="n"/>
      <c r="E167" s="100" t="n"/>
      <c r="F167" s="100" t="n"/>
      <c r="G167" s="100" t="n"/>
    </row>
    <row r="168" ht="15" customHeight="1" s="52">
      <c r="A168" s="102" t="n"/>
      <c r="B168" s="100" t="n"/>
      <c r="C168" s="100" t="n"/>
      <c r="D168" s="100" t="n"/>
      <c r="E168" s="100" t="n"/>
      <c r="F168" s="100" t="n"/>
      <c r="G168" s="100" t="n"/>
    </row>
    <row r="169" ht="15" customHeight="1" s="52">
      <c r="A169" s="102" t="n"/>
      <c r="B169" s="100" t="n"/>
      <c r="C169" s="100" t="n"/>
      <c r="D169" s="100" t="n"/>
      <c r="E169" s="100" t="n"/>
      <c r="F169" s="100" t="n"/>
      <c r="G169" s="100" t="n"/>
    </row>
    <row r="170" ht="15" customHeight="1" s="52">
      <c r="A170" s="102" t="n"/>
      <c r="B170" s="100" t="n"/>
      <c r="C170" s="100" t="n"/>
      <c r="D170" s="100" t="n"/>
      <c r="E170" s="100" t="n"/>
      <c r="F170" s="100" t="n"/>
      <c r="G170" s="100" t="n"/>
    </row>
    <row r="171" ht="15" customHeight="1" s="52">
      <c r="A171" s="102" t="n"/>
      <c r="B171" s="100" t="n"/>
      <c r="C171" s="100" t="n"/>
      <c r="D171" s="100" t="n"/>
      <c r="E171" s="100" t="n"/>
      <c r="F171" s="100" t="n"/>
      <c r="G171" s="100" t="n"/>
    </row>
    <row r="172" ht="15" customHeight="1" s="52">
      <c r="A172" s="102" t="n"/>
      <c r="B172" s="100" t="n"/>
      <c r="C172" s="100" t="n"/>
      <c r="D172" s="100" t="n"/>
      <c r="E172" s="100" t="n"/>
      <c r="F172" s="100" t="n"/>
      <c r="G172" s="100" t="n"/>
    </row>
    <row r="173" ht="15" customHeight="1" s="52">
      <c r="A173" s="102" t="n"/>
      <c r="B173" s="100" t="n"/>
      <c r="C173" s="100" t="n"/>
      <c r="D173" s="100" t="n"/>
      <c r="E173" s="100" t="n"/>
      <c r="F173" s="100" t="n"/>
      <c r="G173" s="100" t="n"/>
    </row>
    <row r="174" ht="15" customHeight="1" s="52">
      <c r="A174" s="102" t="n"/>
      <c r="B174" s="100" t="n"/>
      <c r="C174" s="100" t="n"/>
      <c r="D174" s="100" t="n"/>
      <c r="E174" s="100" t="n"/>
      <c r="F174" s="100" t="n"/>
      <c r="G174" s="100" t="n"/>
    </row>
    <row r="175" ht="15" customHeight="1" s="52">
      <c r="A175" s="102" t="n"/>
      <c r="B175" s="100" t="n"/>
      <c r="C175" s="100" t="n"/>
      <c r="D175" s="100" t="n"/>
      <c r="E175" s="100" t="n"/>
      <c r="F175" s="100" t="n"/>
      <c r="G175" s="100" t="n"/>
    </row>
    <row r="176" ht="15" customHeight="1" s="52">
      <c r="A176" s="102" t="n"/>
      <c r="B176" s="100" t="n"/>
      <c r="C176" s="100" t="n"/>
      <c r="D176" s="100" t="n"/>
      <c r="E176" s="100" t="n"/>
      <c r="F176" s="100" t="n"/>
      <c r="G176" s="100" t="n"/>
    </row>
    <row r="177" ht="15" customHeight="1" s="52">
      <c r="A177" s="102" t="n"/>
      <c r="B177" s="100" t="n"/>
      <c r="C177" s="100" t="n"/>
      <c r="D177" s="100" t="n"/>
      <c r="E177" s="100" t="n"/>
      <c r="F177" s="100" t="n"/>
      <c r="G177" s="100" t="n"/>
    </row>
    <row r="178" ht="15" customHeight="1" s="52">
      <c r="A178" s="102" t="n"/>
      <c r="B178" s="100" t="n"/>
      <c r="C178" s="100" t="n"/>
      <c r="D178" s="100" t="n"/>
      <c r="E178" s="100" t="n"/>
      <c r="F178" s="100" t="n"/>
      <c r="G178" s="100" t="n"/>
    </row>
    <row r="179" ht="15" customHeight="1" s="52">
      <c r="A179" s="102" t="n"/>
      <c r="B179" s="100" t="n"/>
      <c r="C179" s="100" t="n"/>
      <c r="D179" s="100" t="n"/>
      <c r="E179" s="100" t="n"/>
      <c r="F179" s="100" t="n"/>
      <c r="G179" s="100" t="n"/>
    </row>
    <row r="180" ht="15" customHeight="1" s="52">
      <c r="A180" s="102" t="n"/>
      <c r="B180" s="100" t="n"/>
      <c r="C180" s="100" t="n"/>
      <c r="D180" s="100" t="n"/>
      <c r="E180" s="100" t="n"/>
      <c r="F180" s="100" t="n"/>
      <c r="G180" s="100" t="n"/>
    </row>
    <row r="181" ht="15" customHeight="1" s="52">
      <c r="A181" s="102" t="n"/>
      <c r="B181" s="100" t="n"/>
      <c r="C181" s="100" t="n"/>
      <c r="D181" s="100" t="n"/>
      <c r="E181" s="100" t="n"/>
      <c r="F181" s="100" t="n"/>
      <c r="G181" s="100" t="n"/>
    </row>
    <row r="182" ht="15" customHeight="1" s="52">
      <c r="A182" s="102" t="n"/>
      <c r="B182" s="100" t="n"/>
      <c r="C182" s="100" t="n"/>
      <c r="D182" s="100" t="n"/>
      <c r="E182" s="100" t="n"/>
      <c r="F182" s="100" t="n"/>
      <c r="G182" s="100" t="n"/>
    </row>
    <row r="183" ht="15" customHeight="1" s="52">
      <c r="A183" s="102" t="n"/>
      <c r="B183" s="100" t="n"/>
      <c r="C183" s="100" t="n"/>
      <c r="D183" s="100" t="n"/>
      <c r="E183" s="100" t="n"/>
      <c r="F183" s="100" t="n"/>
      <c r="G183" s="100" t="n"/>
    </row>
    <row r="184" ht="15" customHeight="1" s="52">
      <c r="A184" s="102" t="n"/>
      <c r="B184" s="100" t="n"/>
      <c r="C184" s="100" t="n"/>
      <c r="D184" s="100" t="n"/>
      <c r="E184" s="100" t="n"/>
      <c r="F184" s="100" t="n"/>
      <c r="G184" s="100" t="n"/>
    </row>
    <row r="185" ht="15" customHeight="1" s="52">
      <c r="A185" s="102" t="n"/>
      <c r="B185" s="100" t="n"/>
      <c r="C185" s="100" t="n"/>
      <c r="D185" s="100" t="n"/>
      <c r="E185" s="100" t="n"/>
      <c r="F185" s="100" t="n"/>
      <c r="G185" s="100" t="n"/>
    </row>
    <row r="186" ht="15" customHeight="1" s="52">
      <c r="A186" s="102" t="n"/>
      <c r="B186" s="100" t="n"/>
      <c r="C186" s="100" t="n"/>
      <c r="D186" s="100" t="n"/>
      <c r="E186" s="100" t="n"/>
      <c r="F186" s="100" t="n"/>
      <c r="G186" s="100" t="n"/>
    </row>
    <row r="187" ht="15" customHeight="1" s="52">
      <c r="A187" s="102" t="n"/>
      <c r="B187" s="100" t="n"/>
      <c r="C187" s="100" t="n"/>
      <c r="D187" s="100" t="n"/>
      <c r="E187" s="100" t="n"/>
      <c r="F187" s="100" t="n"/>
      <c r="G187" s="100" t="n"/>
    </row>
    <row r="188" ht="15" customHeight="1" s="52">
      <c r="A188" s="102" t="n"/>
      <c r="B188" s="100" t="n"/>
      <c r="C188" s="100" t="n"/>
      <c r="D188" s="100" t="n"/>
      <c r="E188" s="100" t="n"/>
      <c r="F188" s="100" t="n"/>
      <c r="G188" s="100" t="n"/>
    </row>
    <row r="189" ht="15" customHeight="1" s="52">
      <c r="A189" s="102" t="n"/>
      <c r="B189" s="100" t="n"/>
      <c r="C189" s="100" t="n"/>
      <c r="D189" s="100" t="n"/>
      <c r="E189" s="100" t="n"/>
      <c r="F189" s="100" t="n"/>
      <c r="G189" s="100" t="n"/>
    </row>
    <row r="190" ht="15" customHeight="1" s="52">
      <c r="A190" s="102" t="n"/>
      <c r="B190" s="100" t="n"/>
      <c r="C190" s="100" t="n"/>
      <c r="D190" s="100" t="n"/>
      <c r="E190" s="100" t="n"/>
      <c r="F190" s="100" t="n"/>
      <c r="G190" s="100" t="n"/>
    </row>
    <row r="191" ht="15" customHeight="1" s="52">
      <c r="A191" s="102" t="n"/>
      <c r="B191" s="100" t="n"/>
      <c r="C191" s="100" t="n"/>
      <c r="D191" s="100" t="n"/>
      <c r="E191" s="100" t="n"/>
      <c r="F191" s="100" t="n"/>
      <c r="G191" s="100" t="n"/>
    </row>
    <row r="192" ht="15" customHeight="1" s="52">
      <c r="A192" s="102" t="n"/>
      <c r="B192" s="100" t="n"/>
      <c r="C192" s="100" t="n"/>
      <c r="D192" s="100" t="n"/>
      <c r="E192" s="100" t="n"/>
      <c r="F192" s="100" t="n"/>
      <c r="G192" s="100" t="n"/>
    </row>
    <row r="193" ht="15" customHeight="1" s="52">
      <c r="A193" s="102" t="n"/>
      <c r="B193" s="100" t="n"/>
      <c r="C193" s="100" t="n"/>
      <c r="D193" s="100" t="n"/>
      <c r="E193" s="100" t="n"/>
      <c r="F193" s="100" t="n"/>
      <c r="G193" s="100" t="n"/>
    </row>
    <row r="194" ht="15" customHeight="1" s="52">
      <c r="A194" s="102" t="n"/>
      <c r="B194" s="100" t="n"/>
      <c r="C194" s="100" t="n"/>
      <c r="D194" s="100" t="n"/>
      <c r="E194" s="100" t="n"/>
      <c r="F194" s="100" t="n"/>
      <c r="G194" s="100" t="n"/>
    </row>
    <row r="195" ht="15" customHeight="1" s="52">
      <c r="A195" s="102" t="n"/>
      <c r="B195" s="100" t="n"/>
      <c r="C195" s="100" t="n"/>
      <c r="D195" s="100" t="n"/>
      <c r="E195" s="100" t="n"/>
      <c r="F195" s="100" t="n"/>
      <c r="G195" s="100" t="n"/>
    </row>
    <row r="196" ht="15" customHeight="1" s="52">
      <c r="A196" s="102" t="n"/>
      <c r="B196" s="100" t="n"/>
      <c r="C196" s="100" t="n"/>
      <c r="D196" s="100" t="n"/>
      <c r="E196" s="100" t="n"/>
      <c r="F196" s="100" t="n"/>
      <c r="G196" s="100" t="n"/>
    </row>
    <row r="197" ht="15" customHeight="1" s="52">
      <c r="A197" s="102" t="n"/>
      <c r="B197" s="100" t="n"/>
      <c r="C197" s="100" t="n"/>
      <c r="D197" s="100" t="n"/>
      <c r="E197" s="100" t="n"/>
      <c r="F197" s="100" t="n"/>
      <c r="G197" s="100" t="n"/>
    </row>
    <row r="198" ht="15" customHeight="1" s="52">
      <c r="A198" s="102" t="n"/>
      <c r="B198" s="100" t="n"/>
      <c r="C198" s="100" t="n"/>
      <c r="D198" s="100" t="n"/>
      <c r="E198" s="100" t="n"/>
      <c r="F198" s="100" t="n"/>
      <c r="G198" s="100" t="n"/>
    </row>
    <row r="199" ht="15" customHeight="1" s="52">
      <c r="A199" s="102" t="n"/>
      <c r="B199" s="100" t="n"/>
      <c r="C199" s="100" t="n"/>
      <c r="D199" s="100" t="n"/>
      <c r="E199" s="100" t="n"/>
      <c r="F199" s="100" t="n"/>
      <c r="G199" s="100" t="n"/>
    </row>
    <row r="200" ht="15" customHeight="1" s="52">
      <c r="A200" s="102" t="n"/>
      <c r="B200" s="100" t="n"/>
      <c r="C200" s="100" t="n"/>
      <c r="D200" s="100" t="n"/>
      <c r="E200" s="100" t="n"/>
      <c r="F200" s="100" t="n"/>
      <c r="G200" s="100" t="n"/>
    </row>
    <row r="201" ht="15" customHeight="1" s="52">
      <c r="A201" s="102" t="n"/>
      <c r="B201" s="100" t="n"/>
      <c r="C201" s="100" t="n"/>
      <c r="D201" s="100" t="n"/>
      <c r="E201" s="100" t="n"/>
      <c r="F201" s="100" t="n"/>
      <c r="G201" s="100" t="n"/>
    </row>
    <row r="202" ht="15" customHeight="1" s="52">
      <c r="A202" s="102" t="n"/>
      <c r="B202" s="100" t="n"/>
      <c r="C202" s="100" t="n"/>
      <c r="D202" s="100" t="n"/>
      <c r="E202" s="100" t="n"/>
      <c r="F202" s="100" t="n"/>
      <c r="G202" s="100" t="n"/>
    </row>
    <row r="203" ht="15" customHeight="1" s="52">
      <c r="A203" s="102" t="n"/>
      <c r="B203" s="100" t="n"/>
      <c r="C203" s="100" t="n"/>
      <c r="D203" s="100" t="n"/>
      <c r="E203" s="100" t="n"/>
      <c r="F203" s="100" t="n"/>
      <c r="G203" s="100" t="n"/>
    </row>
    <row r="204" ht="15" customHeight="1" s="52">
      <c r="A204" s="102" t="n"/>
      <c r="B204" s="100" t="n"/>
      <c r="C204" s="100" t="n"/>
      <c r="D204" s="100" t="n"/>
      <c r="E204" s="100" t="n"/>
      <c r="F204" s="100" t="n"/>
      <c r="G204" s="100" t="n"/>
    </row>
    <row r="205" ht="15" customHeight="1" s="52">
      <c r="A205" s="102" t="n"/>
      <c r="B205" s="100" t="n"/>
      <c r="C205" s="100" t="n"/>
      <c r="D205" s="100" t="n"/>
      <c r="E205" s="100" t="n"/>
      <c r="F205" s="100" t="n"/>
      <c r="G205" s="100" t="n"/>
    </row>
    <row r="206" ht="15" customHeight="1" s="52">
      <c r="A206" s="102" t="n"/>
      <c r="B206" s="100" t="n"/>
      <c r="C206" s="100" t="n"/>
      <c r="D206" s="100" t="n"/>
      <c r="E206" s="100" t="n"/>
      <c r="F206" s="100" t="n"/>
      <c r="G206" s="100" t="n"/>
    </row>
    <row r="207" ht="15" customHeight="1" s="52">
      <c r="A207" s="102" t="n"/>
      <c r="B207" s="100" t="n"/>
      <c r="C207" s="100" t="n"/>
      <c r="D207" s="100" t="n"/>
      <c r="E207" s="100" t="n"/>
      <c r="F207" s="100" t="n"/>
      <c r="G207" s="100" t="n"/>
    </row>
    <row r="208" ht="15" customHeight="1" s="52">
      <c r="A208" s="102" t="n"/>
      <c r="B208" s="100" t="n"/>
      <c r="C208" s="100" t="n"/>
      <c r="D208" s="100" t="n"/>
      <c r="E208" s="100" t="n"/>
      <c r="F208" s="100" t="n"/>
      <c r="G208" s="100" t="n"/>
    </row>
    <row r="209" ht="15" customHeight="1" s="52">
      <c r="A209" s="102" t="n"/>
      <c r="B209" s="100" t="n"/>
      <c r="C209" s="100" t="n"/>
      <c r="D209" s="100" t="n"/>
      <c r="E209" s="100" t="n"/>
      <c r="F209" s="100" t="n"/>
      <c r="G209" s="100" t="n"/>
    </row>
    <row r="210" ht="15" customHeight="1" s="52">
      <c r="A210" s="102" t="n"/>
      <c r="B210" s="100" t="n"/>
      <c r="C210" s="100" t="n"/>
      <c r="D210" s="100" t="n"/>
      <c r="E210" s="100" t="n"/>
      <c r="F210" s="100" t="n"/>
      <c r="G210" s="100" t="n"/>
    </row>
    <row r="211" ht="15" customHeight="1" s="52">
      <c r="A211" s="102" t="n"/>
      <c r="B211" s="100" t="n"/>
      <c r="C211" s="100" t="n"/>
      <c r="D211" s="100" t="n"/>
      <c r="E211" s="100" t="n"/>
      <c r="F211" s="100" t="n"/>
      <c r="G211" s="100" t="n"/>
    </row>
    <row r="212" ht="15" customHeight="1" s="52">
      <c r="A212" s="102" t="n"/>
      <c r="B212" s="100" t="n"/>
      <c r="C212" s="100" t="n"/>
      <c r="D212" s="100" t="n"/>
      <c r="E212" s="100" t="n"/>
      <c r="F212" s="100" t="n"/>
      <c r="G212" s="100" t="n"/>
    </row>
    <row r="213" ht="15" customHeight="1" s="52">
      <c r="A213" s="102" t="n"/>
      <c r="B213" s="100" t="n"/>
      <c r="C213" s="100" t="n"/>
      <c r="D213" s="100" t="n"/>
      <c r="E213" s="100" t="n"/>
      <c r="F213" s="100" t="n"/>
      <c r="G213" s="100" t="n"/>
    </row>
    <row r="214" ht="15" customHeight="1" s="52">
      <c r="A214" s="102" t="n"/>
      <c r="B214" s="100" t="n"/>
      <c r="C214" s="100" t="n"/>
      <c r="D214" s="100" t="n"/>
      <c r="E214" s="100" t="n"/>
      <c r="F214" s="100" t="n"/>
      <c r="G214" s="100" t="n"/>
    </row>
    <row r="215" ht="15" customHeight="1" s="52">
      <c r="A215" s="102" t="n"/>
      <c r="B215" s="100" t="n"/>
      <c r="C215" s="100" t="n"/>
      <c r="D215" s="100" t="n"/>
      <c r="E215" s="100" t="n"/>
      <c r="F215" s="100" t="n"/>
      <c r="G215" s="100" t="n"/>
    </row>
    <row r="216" ht="15" customHeight="1" s="52">
      <c r="A216" s="102" t="n"/>
      <c r="B216" s="100" t="n"/>
      <c r="C216" s="100" t="n"/>
      <c r="D216" s="100" t="n"/>
      <c r="E216" s="100" t="n"/>
      <c r="F216" s="100" t="n"/>
      <c r="G216" s="100" t="n"/>
    </row>
    <row r="217" ht="15" customHeight="1" s="52">
      <c r="A217" s="102" t="n"/>
      <c r="B217" s="100" t="n"/>
      <c r="C217" s="100" t="n"/>
      <c r="D217" s="100" t="n"/>
      <c r="E217" s="100" t="n"/>
      <c r="F217" s="100" t="n"/>
      <c r="G217" s="100" t="n"/>
    </row>
    <row r="218" ht="15" customHeight="1" s="52">
      <c r="A218" s="102" t="n"/>
      <c r="B218" s="100" t="n"/>
      <c r="C218" s="100" t="n"/>
      <c r="D218" s="100" t="n"/>
      <c r="E218" s="100" t="n"/>
      <c r="F218" s="100" t="n"/>
      <c r="G218" s="100" t="n"/>
    </row>
    <row r="219" ht="15" customHeight="1" s="52">
      <c r="A219" s="102" t="n"/>
      <c r="B219" s="100" t="n"/>
      <c r="C219" s="100" t="n"/>
      <c r="D219" s="100" t="n"/>
      <c r="E219" s="100" t="n"/>
      <c r="F219" s="100" t="n"/>
      <c r="G219" s="100" t="n"/>
    </row>
    <row r="220" ht="15" customHeight="1" s="52">
      <c r="A220" s="102" t="n"/>
      <c r="B220" s="100" t="n"/>
      <c r="C220" s="100" t="n"/>
      <c r="D220" s="100" t="n"/>
      <c r="E220" s="100" t="n"/>
      <c r="F220" s="100" t="n"/>
      <c r="G220" s="100" t="n"/>
    </row>
    <row r="221" ht="15" customHeight="1" s="52">
      <c r="A221" s="102" t="n"/>
      <c r="B221" s="100" t="n"/>
      <c r="C221" s="100" t="n"/>
      <c r="D221" s="100" t="n"/>
      <c r="E221" s="100" t="n"/>
      <c r="F221" s="100" t="n"/>
      <c r="G221" s="100" t="n"/>
    </row>
    <row r="222" ht="15" customHeight="1" s="52">
      <c r="A222" s="102" t="n"/>
      <c r="B222" s="100" t="n"/>
      <c r="C222" s="100" t="n"/>
      <c r="D222" s="100" t="n"/>
      <c r="E222" s="100" t="n"/>
      <c r="F222" s="100" t="n"/>
      <c r="G222" s="100" t="n"/>
    </row>
    <row r="223" ht="15" customHeight="1" s="52">
      <c r="A223" s="102" t="n"/>
      <c r="B223" s="100" t="n"/>
      <c r="C223" s="100" t="n"/>
      <c r="D223" s="100" t="n"/>
      <c r="E223" s="100" t="n"/>
      <c r="F223" s="100" t="n"/>
      <c r="G223" s="100" t="n"/>
    </row>
    <row r="224" ht="15" customHeight="1" s="52">
      <c r="A224" s="102" t="n"/>
      <c r="B224" s="100" t="n"/>
      <c r="C224" s="100" t="n"/>
      <c r="D224" s="100" t="n"/>
      <c r="E224" s="100" t="n"/>
      <c r="F224" s="100" t="n"/>
      <c r="G224" s="100" t="n"/>
    </row>
    <row r="225" ht="15" customHeight="1" s="52">
      <c r="A225" s="102" t="n"/>
      <c r="B225" s="100" t="n"/>
      <c r="C225" s="100" t="n"/>
      <c r="D225" s="100" t="n"/>
      <c r="E225" s="100" t="n"/>
      <c r="F225" s="100" t="n"/>
      <c r="G225" s="100" t="n"/>
    </row>
    <row r="226" ht="15" customHeight="1" s="52">
      <c r="A226" s="102" t="n"/>
      <c r="B226" s="100" t="n"/>
      <c r="C226" s="100" t="n"/>
      <c r="D226" s="100" t="n"/>
      <c r="E226" s="100" t="n"/>
      <c r="F226" s="100" t="n"/>
      <c r="G226" s="100" t="n"/>
    </row>
    <row r="227" ht="15" customHeight="1" s="52">
      <c r="A227" s="102" t="n"/>
      <c r="B227" s="100" t="n"/>
      <c r="C227" s="100" t="n"/>
      <c r="D227" s="100" t="n"/>
      <c r="E227" s="100" t="n"/>
      <c r="F227" s="100" t="n"/>
      <c r="G227" s="100" t="n"/>
    </row>
    <row r="228" ht="15" customHeight="1" s="52">
      <c r="A228" s="102" t="n"/>
      <c r="B228" s="100" t="n"/>
      <c r="C228" s="100" t="n"/>
      <c r="D228" s="100" t="n"/>
      <c r="E228" s="100" t="n"/>
      <c r="F228" s="100" t="n"/>
      <c r="G228" s="100" t="n"/>
    </row>
    <row r="229" ht="15" customHeight="1" s="52">
      <c r="A229" s="102" t="n"/>
      <c r="B229" s="100" t="n"/>
      <c r="C229" s="100" t="n"/>
      <c r="D229" s="100" t="n"/>
      <c r="E229" s="100" t="n"/>
      <c r="F229" s="100" t="n"/>
      <c r="G229" s="100" t="n"/>
    </row>
    <row r="230" ht="15" customHeight="1" s="52">
      <c r="A230" s="102" t="n"/>
      <c r="B230" s="100" t="n"/>
      <c r="C230" s="100" t="n"/>
      <c r="D230" s="100" t="n"/>
      <c r="E230" s="100" t="n"/>
      <c r="F230" s="100" t="n"/>
      <c r="G230" s="100" t="n"/>
    </row>
    <row r="231" ht="15" customHeight="1" s="52">
      <c r="A231" s="102" t="n"/>
      <c r="B231" s="100" t="n"/>
      <c r="C231" s="100" t="n"/>
      <c r="D231" s="100" t="n"/>
      <c r="E231" s="100" t="n"/>
      <c r="F231" s="100" t="n"/>
      <c r="G231" s="100" t="n"/>
    </row>
    <row r="232" ht="15" customHeight="1" s="52">
      <c r="A232" s="102" t="n"/>
      <c r="B232" s="100" t="n"/>
      <c r="C232" s="100" t="n"/>
      <c r="D232" s="100" t="n"/>
      <c r="E232" s="100" t="n"/>
      <c r="F232" s="100" t="n"/>
      <c r="G232" s="100" t="n"/>
    </row>
    <row r="233" ht="15" customHeight="1" s="52">
      <c r="A233" s="102" t="n"/>
      <c r="B233" s="100" t="n"/>
      <c r="C233" s="100" t="n"/>
      <c r="D233" s="100" t="n"/>
      <c r="E233" s="100" t="n"/>
      <c r="F233" s="100" t="n"/>
      <c r="G233" s="100" t="n"/>
    </row>
    <row r="234" ht="15" customHeight="1" s="52">
      <c r="A234" s="102" t="n"/>
      <c r="B234" s="100" t="n"/>
      <c r="C234" s="100" t="n"/>
      <c r="D234" s="100" t="n"/>
      <c r="E234" s="100" t="n"/>
      <c r="F234" s="100" t="n"/>
      <c r="G234" s="100" t="n"/>
    </row>
    <row r="235" ht="15" customHeight="1" s="52">
      <c r="A235" s="102" t="n"/>
      <c r="B235" s="100" t="n"/>
      <c r="C235" s="100" t="n"/>
      <c r="D235" s="100" t="n"/>
      <c r="E235" s="100" t="n"/>
      <c r="F235" s="100" t="n"/>
      <c r="G235" s="100" t="n"/>
    </row>
    <row r="236" ht="15" customHeight="1" s="52">
      <c r="A236" s="102" t="n"/>
      <c r="B236" s="100" t="n"/>
      <c r="C236" s="100" t="n"/>
      <c r="D236" s="100" t="n"/>
      <c r="E236" s="100" t="n"/>
      <c r="F236" s="100" t="n"/>
      <c r="G236" s="100" t="n"/>
    </row>
    <row r="237" ht="15" customHeight="1" s="52">
      <c r="A237" s="102" t="n"/>
      <c r="B237" s="100" t="n"/>
      <c r="C237" s="100" t="n"/>
      <c r="D237" s="100" t="n"/>
      <c r="E237" s="100" t="n"/>
      <c r="F237" s="100" t="n"/>
      <c r="G237" s="100" t="n"/>
    </row>
    <row r="238" ht="15" customHeight="1" s="52">
      <c r="A238" s="102" t="n"/>
      <c r="B238" s="100" t="n"/>
      <c r="C238" s="100" t="n"/>
      <c r="D238" s="100" t="n"/>
      <c r="E238" s="100" t="n"/>
      <c r="F238" s="100" t="n"/>
      <c r="G238" s="100" t="n"/>
    </row>
    <row r="239" ht="15" customHeight="1" s="52">
      <c r="A239" s="102" t="n"/>
      <c r="B239" s="100" t="n"/>
      <c r="C239" s="100" t="n"/>
      <c r="D239" s="100" t="n"/>
      <c r="E239" s="100" t="n"/>
      <c r="F239" s="100" t="n"/>
      <c r="G239" s="100" t="n"/>
    </row>
    <row r="240" ht="15" customHeight="1" s="52">
      <c r="A240" s="102" t="n"/>
      <c r="B240" s="100" t="n"/>
      <c r="C240" s="100" t="n"/>
      <c r="D240" s="100" t="n"/>
      <c r="E240" s="100" t="n"/>
      <c r="F240" s="100" t="n"/>
      <c r="G240" s="100" t="n"/>
    </row>
    <row r="241" ht="15" customHeight="1" s="52">
      <c r="A241" s="102" t="n"/>
      <c r="B241" s="100" t="n"/>
      <c r="C241" s="100" t="n"/>
      <c r="D241" s="100" t="n"/>
      <c r="E241" s="100" t="n"/>
      <c r="F241" s="100" t="n"/>
      <c r="G241" s="100" t="n"/>
    </row>
    <row r="242" ht="15" customHeight="1" s="52">
      <c r="A242" s="102" t="n"/>
      <c r="B242" s="100" t="n"/>
      <c r="C242" s="100" t="n"/>
      <c r="D242" s="100" t="n"/>
      <c r="E242" s="100" t="n"/>
      <c r="F242" s="100" t="n"/>
      <c r="G242" s="100" t="n"/>
    </row>
    <row r="243" ht="15" customHeight="1" s="52">
      <c r="A243" s="102" t="n"/>
      <c r="B243" s="100" t="n"/>
      <c r="C243" s="100" t="n"/>
      <c r="D243" s="100" t="n"/>
      <c r="E243" s="100" t="n"/>
      <c r="F243" s="100" t="n"/>
      <c r="G243" s="100" t="n"/>
    </row>
    <row r="244" ht="15" customHeight="1" s="52">
      <c r="A244" s="102" t="n"/>
      <c r="B244" s="100" t="n"/>
      <c r="C244" s="100" t="n"/>
      <c r="D244" s="100" t="n"/>
      <c r="E244" s="100" t="n"/>
      <c r="F244" s="100" t="n"/>
      <c r="G244" s="100" t="n"/>
    </row>
    <row r="245" ht="15" customHeight="1" s="52">
      <c r="A245" s="102" t="n"/>
      <c r="B245" s="100" t="n"/>
      <c r="C245" s="100" t="n"/>
      <c r="D245" s="100" t="n"/>
      <c r="E245" s="100" t="n"/>
      <c r="F245" s="100" t="n"/>
      <c r="G245" s="100" t="n"/>
    </row>
    <row r="246" ht="15" customHeight="1" s="52">
      <c r="A246" s="102" t="n"/>
      <c r="B246" s="100" t="n"/>
      <c r="C246" s="100" t="n"/>
      <c r="D246" s="100" t="n"/>
      <c r="E246" s="100" t="n"/>
      <c r="F246" s="100" t="n"/>
      <c r="G246" s="100" t="n"/>
    </row>
    <row r="247" ht="15" customHeight="1" s="52">
      <c r="A247" s="102" t="n"/>
      <c r="B247" s="100" t="n"/>
      <c r="C247" s="100" t="n"/>
      <c r="D247" s="100" t="n"/>
      <c r="E247" s="100" t="n"/>
      <c r="F247" s="100" t="n"/>
      <c r="G247" s="100" t="n"/>
    </row>
    <row r="248" ht="15" customHeight="1" s="52">
      <c r="A248" s="102" t="n"/>
      <c r="B248" s="100" t="n"/>
      <c r="C248" s="100" t="n"/>
      <c r="D248" s="100" t="n"/>
      <c r="E248" s="100" t="n"/>
      <c r="F248" s="100" t="n"/>
      <c r="G248" s="100" t="n"/>
    </row>
    <row r="249" ht="15" customHeight="1" s="52">
      <c r="A249" s="102" t="n"/>
      <c r="B249" s="100" t="n"/>
      <c r="C249" s="100" t="n"/>
      <c r="D249" s="100" t="n"/>
      <c r="E249" s="100" t="n"/>
      <c r="F249" s="100" t="n"/>
      <c r="G249" s="100" t="n"/>
    </row>
    <row r="250" ht="15" customHeight="1" s="52">
      <c r="A250" s="102" t="n"/>
      <c r="B250" s="100" t="n"/>
      <c r="C250" s="100" t="n"/>
      <c r="D250" s="100" t="n"/>
      <c r="E250" s="100" t="n"/>
      <c r="F250" s="100" t="n"/>
      <c r="G250" s="100" t="n"/>
    </row>
    <row r="251" ht="15" customHeight="1" s="52">
      <c r="A251" s="102" t="n"/>
      <c r="B251" s="100" t="n"/>
      <c r="C251" s="100" t="n"/>
      <c r="D251" s="100" t="n"/>
      <c r="E251" s="100" t="n"/>
      <c r="F251" s="100" t="n"/>
      <c r="G251" s="100" t="n"/>
    </row>
    <row r="252" ht="15" customHeight="1" s="52">
      <c r="A252" s="102" t="n"/>
      <c r="B252" s="100" t="n"/>
      <c r="C252" s="100" t="n"/>
      <c r="D252" s="100" t="n"/>
      <c r="E252" s="100" t="n"/>
      <c r="F252" s="100" t="n"/>
      <c r="G252" s="100" t="n"/>
    </row>
    <row r="253" ht="15" customHeight="1" s="52">
      <c r="A253" s="102" t="n"/>
      <c r="B253" s="100" t="n"/>
      <c r="C253" s="100" t="n"/>
      <c r="D253" s="100" t="n"/>
      <c r="E253" s="100" t="n"/>
      <c r="F253" s="100" t="n"/>
      <c r="G253" s="100" t="n"/>
    </row>
    <row r="254" ht="15" customHeight="1" s="52">
      <c r="A254" s="102" t="n"/>
      <c r="B254" s="100" t="n"/>
      <c r="C254" s="100" t="n"/>
      <c r="D254" s="100" t="n"/>
      <c r="E254" s="100" t="n"/>
      <c r="F254" s="100" t="n"/>
      <c r="G254" s="100" t="n"/>
    </row>
    <row r="255" ht="15" customHeight="1" s="52">
      <c r="A255" s="102" t="n"/>
      <c r="B255" s="100" t="n"/>
      <c r="C255" s="100" t="n"/>
      <c r="D255" s="100" t="n"/>
      <c r="E255" s="100" t="n"/>
      <c r="F255" s="100" t="n"/>
      <c r="G255" s="100" t="n"/>
    </row>
    <row r="256" ht="15" customHeight="1" s="52">
      <c r="A256" s="102" t="n"/>
      <c r="B256" s="100" t="n"/>
      <c r="C256" s="100" t="n"/>
      <c r="D256" s="100" t="n"/>
      <c r="E256" s="100" t="n"/>
      <c r="F256" s="100" t="n"/>
      <c r="G256" s="100" t="n"/>
    </row>
    <row r="257" ht="15" customHeight="1" s="52">
      <c r="A257" s="102" t="n"/>
      <c r="B257" s="100" t="n"/>
      <c r="C257" s="100" t="n"/>
      <c r="D257" s="100" t="n"/>
      <c r="E257" s="100" t="n"/>
      <c r="F257" s="100" t="n"/>
      <c r="G257" s="100" t="n"/>
    </row>
    <row r="258" ht="15" customHeight="1" s="52">
      <c r="A258" s="102" t="n"/>
      <c r="B258" s="100" t="n"/>
      <c r="C258" s="100" t="n"/>
      <c r="D258" s="100" t="n"/>
      <c r="E258" s="100" t="n"/>
      <c r="F258" s="100" t="n"/>
      <c r="G258" s="100" t="n"/>
    </row>
    <row r="259" ht="15" customHeight="1" s="52">
      <c r="A259" s="102" t="n"/>
      <c r="B259" s="100" t="n"/>
      <c r="C259" s="100" t="n"/>
      <c r="D259" s="100" t="n"/>
      <c r="E259" s="100" t="n"/>
      <c r="F259" s="100" t="n"/>
      <c r="G259" s="100" t="n"/>
    </row>
    <row r="260" ht="15" customHeight="1" s="52">
      <c r="A260" s="102" t="n"/>
      <c r="B260" s="100" t="n"/>
      <c r="C260" s="100" t="n"/>
      <c r="D260" s="100" t="n"/>
      <c r="E260" s="100" t="n"/>
      <c r="F260" s="100" t="n"/>
      <c r="G260" s="100" t="n"/>
    </row>
    <row r="261" ht="15" customHeight="1" s="52">
      <c r="A261" s="102" t="n"/>
      <c r="B261" s="100" t="n"/>
      <c r="C261" s="100" t="n"/>
      <c r="D261" s="100" t="n"/>
      <c r="E261" s="100" t="n"/>
      <c r="F261" s="100" t="n"/>
      <c r="G261" s="100" t="n"/>
    </row>
    <row r="262" ht="15" customHeight="1" s="52">
      <c r="A262" s="102" t="n"/>
      <c r="B262" s="100" t="n"/>
      <c r="C262" s="100" t="n"/>
      <c r="D262" s="100" t="n"/>
      <c r="E262" s="100" t="n"/>
      <c r="F262" s="100" t="n"/>
      <c r="G262" s="100" t="n"/>
    </row>
    <row r="263" ht="15" customHeight="1" s="52">
      <c r="A263" s="102" t="n"/>
      <c r="B263" s="100" t="n"/>
      <c r="C263" s="100" t="n"/>
      <c r="D263" s="100" t="n"/>
      <c r="E263" s="100" t="n"/>
      <c r="F263" s="100" t="n"/>
      <c r="G263" s="100" t="n"/>
    </row>
    <row r="264" ht="15" customHeight="1" s="52">
      <c r="A264" s="102" t="n"/>
      <c r="B264" s="100" t="n"/>
      <c r="C264" s="100" t="n"/>
      <c r="D264" s="100" t="n"/>
      <c r="E264" s="100" t="n"/>
      <c r="F264" s="100" t="n"/>
      <c r="G264" s="100" t="n"/>
    </row>
    <row r="265" ht="15" customHeight="1" s="52">
      <c r="A265" s="102" t="n"/>
      <c r="B265" s="100" t="n"/>
      <c r="C265" s="100" t="n"/>
      <c r="D265" s="100" t="n"/>
      <c r="E265" s="100" t="n"/>
      <c r="F265" s="100" t="n"/>
      <c r="G265" s="100" t="n"/>
    </row>
    <row r="266" ht="15" customHeight="1" s="52">
      <c r="A266" s="102" t="n"/>
      <c r="B266" s="100" t="n"/>
      <c r="C266" s="100" t="n"/>
      <c r="D266" s="100" t="n"/>
      <c r="E266" s="100" t="n"/>
      <c r="F266" s="100" t="n"/>
      <c r="G266" s="100" t="n"/>
    </row>
    <row r="267" ht="15" customHeight="1" s="52">
      <c r="A267" s="102" t="n"/>
      <c r="B267" s="100" t="n"/>
      <c r="C267" s="100" t="n"/>
      <c r="D267" s="100" t="n"/>
      <c r="E267" s="100" t="n"/>
      <c r="F267" s="100" t="n"/>
      <c r="G267" s="100" t="n"/>
    </row>
    <row r="268" ht="15" customHeight="1" s="52">
      <c r="A268" s="102" t="n"/>
      <c r="B268" s="100" t="n"/>
      <c r="C268" s="100" t="n"/>
      <c r="D268" s="100" t="n"/>
      <c r="E268" s="100" t="n"/>
      <c r="F268" s="100" t="n"/>
      <c r="G268" s="100" t="n"/>
    </row>
    <row r="269" ht="15" customHeight="1" s="52">
      <c r="A269" s="102" t="n"/>
      <c r="B269" s="100" t="n"/>
      <c r="C269" s="100" t="n"/>
      <c r="D269" s="100" t="n"/>
      <c r="E269" s="100" t="n"/>
      <c r="F269" s="100" t="n"/>
      <c r="G269" s="100" t="n"/>
    </row>
    <row r="270" ht="15" customHeight="1" s="52">
      <c r="A270" s="102" t="n"/>
      <c r="B270" s="100" t="n"/>
      <c r="C270" s="100" t="n"/>
      <c r="D270" s="100" t="n"/>
      <c r="E270" s="100" t="n"/>
      <c r="F270" s="100" t="n"/>
      <c r="G270" s="100" t="n"/>
    </row>
    <row r="271" ht="15" customHeight="1" s="52">
      <c r="A271" s="102" t="n"/>
      <c r="B271" s="100" t="n"/>
      <c r="C271" s="100" t="n"/>
      <c r="D271" s="100" t="n"/>
      <c r="E271" s="100" t="n"/>
      <c r="F271" s="100" t="n"/>
      <c r="G271" s="100" t="n"/>
    </row>
    <row r="272" ht="15" customHeight="1" s="52">
      <c r="A272" s="102" t="n"/>
      <c r="B272" s="100" t="n"/>
      <c r="C272" s="100" t="n"/>
      <c r="D272" s="100" t="n"/>
      <c r="E272" s="100" t="n"/>
      <c r="F272" s="100" t="n"/>
      <c r="G272" s="100" t="n"/>
    </row>
    <row r="273" ht="15" customHeight="1" s="52">
      <c r="A273" s="102" t="n"/>
      <c r="B273" s="100" t="n"/>
      <c r="C273" s="100" t="n"/>
      <c r="D273" s="100" t="n"/>
      <c r="E273" s="100" t="n"/>
      <c r="F273" s="100" t="n"/>
      <c r="G273" s="100" t="n"/>
    </row>
    <row r="274" ht="15" customHeight="1" s="52">
      <c r="A274" s="102" t="n"/>
      <c r="B274" s="100" t="n"/>
      <c r="C274" s="100" t="n"/>
      <c r="D274" s="100" t="n"/>
      <c r="E274" s="100" t="n"/>
      <c r="F274" s="100" t="n"/>
      <c r="G274" s="100" t="n"/>
    </row>
    <row r="275" ht="15" customHeight="1" s="52">
      <c r="A275" s="102" t="n"/>
      <c r="B275" s="100" t="n"/>
      <c r="C275" s="100" t="n"/>
      <c r="D275" s="100" t="n"/>
      <c r="E275" s="100" t="n"/>
      <c r="F275" s="100" t="n"/>
      <c r="G275" s="100" t="n"/>
    </row>
    <row r="276" ht="15" customHeight="1" s="52">
      <c r="A276" s="102" t="n"/>
      <c r="B276" s="100" t="n"/>
      <c r="C276" s="100" t="n"/>
      <c r="D276" s="100" t="n"/>
      <c r="E276" s="100" t="n"/>
      <c r="F276" s="100" t="n"/>
      <c r="G276" s="100" t="n"/>
    </row>
    <row r="277" ht="15" customHeight="1" s="52">
      <c r="A277" s="102" t="n"/>
      <c r="B277" s="100" t="n"/>
      <c r="C277" s="100" t="n"/>
      <c r="D277" s="100" t="n"/>
      <c r="E277" s="100" t="n"/>
      <c r="F277" s="100" t="n"/>
      <c r="G277" s="100" t="n"/>
    </row>
    <row r="278" ht="15" customHeight="1" s="52">
      <c r="A278" s="102" t="n"/>
      <c r="B278" s="100" t="n"/>
      <c r="C278" s="100" t="n"/>
      <c r="D278" s="100" t="n"/>
      <c r="E278" s="100" t="n"/>
      <c r="F278" s="100" t="n"/>
      <c r="G278" s="100" t="n"/>
    </row>
    <row r="279" ht="15" customHeight="1" s="52">
      <c r="A279" s="102" t="n"/>
      <c r="B279" s="100" t="n"/>
      <c r="C279" s="100" t="n"/>
      <c r="D279" s="100" t="n"/>
      <c r="E279" s="100" t="n"/>
      <c r="F279" s="100" t="n"/>
      <c r="G279" s="100" t="n"/>
    </row>
    <row r="280" ht="15" customHeight="1" s="52">
      <c r="A280" s="102" t="n"/>
      <c r="B280" s="100" t="n"/>
      <c r="C280" s="100" t="n"/>
      <c r="D280" s="100" t="n"/>
      <c r="E280" s="100" t="n"/>
      <c r="F280" s="100" t="n"/>
      <c r="G280" s="100" t="n"/>
    </row>
    <row r="281" ht="15" customHeight="1" s="52">
      <c r="A281" s="102" t="n"/>
      <c r="B281" s="100" t="n"/>
      <c r="C281" s="100" t="n"/>
      <c r="D281" s="100" t="n"/>
      <c r="E281" s="100" t="n"/>
      <c r="F281" s="100" t="n"/>
      <c r="G281" s="100" t="n"/>
    </row>
    <row r="282" ht="15" customHeight="1" s="52">
      <c r="A282" s="102" t="n"/>
      <c r="B282" s="100" t="n"/>
      <c r="C282" s="100" t="n"/>
      <c r="D282" s="100" t="n"/>
      <c r="E282" s="100" t="n"/>
      <c r="F282" s="100" t="n"/>
      <c r="G282" s="100" t="n"/>
    </row>
    <row r="283" ht="15" customHeight="1" s="52">
      <c r="A283" s="102" t="n"/>
      <c r="B283" s="100" t="n"/>
      <c r="C283" s="100" t="n"/>
      <c r="D283" s="100" t="n"/>
      <c r="E283" s="100" t="n"/>
      <c r="F283" s="100" t="n"/>
      <c r="G283" s="100" t="n"/>
    </row>
    <row r="284" ht="15" customHeight="1" s="52">
      <c r="A284" s="102" t="n"/>
      <c r="B284" s="100" t="n"/>
      <c r="C284" s="100" t="n"/>
      <c r="D284" s="100" t="n"/>
      <c r="E284" s="100" t="n"/>
      <c r="F284" s="100" t="n"/>
      <c r="G284" s="100" t="n"/>
    </row>
    <row r="285" ht="15" customHeight="1" s="52">
      <c r="A285" s="102" t="n"/>
      <c r="B285" s="100" t="n"/>
      <c r="C285" s="100" t="n"/>
      <c r="D285" s="100" t="n"/>
      <c r="E285" s="100" t="n"/>
      <c r="F285" s="100" t="n"/>
      <c r="G285" s="100" t="n"/>
    </row>
    <row r="286" ht="15" customHeight="1" s="52">
      <c r="A286" s="102" t="n"/>
      <c r="B286" s="100" t="n"/>
      <c r="C286" s="100" t="n"/>
      <c r="D286" s="100" t="n"/>
      <c r="E286" s="100" t="n"/>
      <c r="F286" s="100" t="n"/>
      <c r="G286" s="100" t="n"/>
    </row>
    <row r="287" ht="15" customHeight="1" s="52">
      <c r="A287" s="102" t="n"/>
      <c r="B287" s="100" t="n"/>
      <c r="C287" s="100" t="n"/>
      <c r="D287" s="100" t="n"/>
      <c r="E287" s="100" t="n"/>
      <c r="F287" s="100" t="n"/>
      <c r="G287" s="100" t="n"/>
    </row>
    <row r="288" ht="15" customHeight="1" s="52">
      <c r="A288" s="102" t="n"/>
      <c r="B288" s="100" t="n"/>
      <c r="C288" s="100" t="n"/>
      <c r="D288" s="100" t="n"/>
      <c r="E288" s="100" t="n"/>
      <c r="F288" s="100" t="n"/>
      <c r="G288" s="100" t="n"/>
    </row>
    <row r="289" ht="15" customHeight="1" s="52">
      <c r="A289" s="102" t="n"/>
      <c r="B289" s="100" t="n"/>
      <c r="C289" s="100" t="n"/>
      <c r="D289" s="100" t="n"/>
      <c r="E289" s="100" t="n"/>
      <c r="F289" s="100" t="n"/>
      <c r="G289" s="100" t="n"/>
    </row>
    <row r="290" ht="15" customHeight="1" s="52">
      <c r="A290" s="102" t="n"/>
      <c r="B290" s="100" t="n"/>
      <c r="C290" s="100" t="n"/>
      <c r="D290" s="100" t="n"/>
      <c r="E290" s="100" t="n"/>
      <c r="F290" s="100" t="n"/>
      <c r="G290" s="100" t="n"/>
    </row>
    <row r="291" ht="15" customHeight="1" s="52">
      <c r="A291" s="102" t="n"/>
      <c r="B291" s="100" t="n"/>
      <c r="C291" s="100" t="n"/>
      <c r="D291" s="100" t="n"/>
      <c r="E291" s="100" t="n"/>
      <c r="F291" s="100" t="n"/>
      <c r="G291" s="100" t="n"/>
    </row>
    <row r="292" ht="15" customHeight="1" s="52">
      <c r="A292" s="102" t="n"/>
      <c r="B292" s="100" t="n"/>
      <c r="C292" s="100" t="n"/>
      <c r="D292" s="100" t="n"/>
      <c r="E292" s="100" t="n"/>
      <c r="F292" s="100" t="n"/>
      <c r="G292" s="100" t="n"/>
    </row>
    <row r="293" ht="15" customHeight="1" s="52">
      <c r="A293" s="102" t="n"/>
      <c r="B293" s="100" t="n"/>
      <c r="C293" s="100" t="n"/>
      <c r="D293" s="100" t="n"/>
      <c r="E293" s="100" t="n"/>
      <c r="F293" s="100" t="n"/>
      <c r="G293" s="100" t="n"/>
    </row>
    <row r="294" ht="15" customHeight="1" s="52">
      <c r="A294" s="102" t="n"/>
      <c r="B294" s="100" t="n"/>
      <c r="C294" s="100" t="n"/>
      <c r="D294" s="100" t="n"/>
      <c r="E294" s="100" t="n"/>
      <c r="F294" s="100" t="n"/>
      <c r="G294" s="100" t="n"/>
    </row>
    <row r="295" ht="15" customHeight="1" s="52">
      <c r="A295" s="102" t="n"/>
      <c r="B295" s="100" t="n"/>
      <c r="C295" s="100" t="n"/>
      <c r="D295" s="100" t="n"/>
      <c r="E295" s="100" t="n"/>
      <c r="F295" s="100" t="n"/>
      <c r="G295" s="100" t="n"/>
    </row>
    <row r="296" ht="15" customHeight="1" s="52">
      <c r="A296" s="102" t="n"/>
      <c r="B296" s="100" t="n"/>
      <c r="C296" s="100" t="n"/>
      <c r="D296" s="100" t="n"/>
      <c r="E296" s="100" t="n"/>
      <c r="F296" s="100" t="n"/>
      <c r="G296" s="100" t="n"/>
    </row>
    <row r="297" ht="15" customHeight="1" s="52">
      <c r="A297" s="102" t="n"/>
      <c r="B297" s="100" t="n"/>
      <c r="C297" s="100" t="n"/>
      <c r="D297" s="100" t="n"/>
      <c r="E297" s="100" t="n"/>
      <c r="F297" s="100" t="n"/>
      <c r="G297" s="100" t="n"/>
    </row>
    <row r="298" ht="15" customHeight="1" s="52">
      <c r="A298" s="102" t="n"/>
      <c r="B298" s="100" t="n"/>
      <c r="C298" s="100" t="n"/>
      <c r="D298" s="100" t="n"/>
      <c r="E298" s="100" t="n"/>
      <c r="F298" s="100" t="n"/>
      <c r="G298" s="100" t="n"/>
    </row>
    <row r="299" ht="15" customHeight="1" s="52">
      <c r="A299" s="102" t="n"/>
      <c r="B299" s="100" t="n"/>
      <c r="C299" s="100" t="n"/>
      <c r="D299" s="100" t="n"/>
      <c r="E299" s="100" t="n"/>
      <c r="F299" s="100" t="n"/>
      <c r="G299" s="100" t="n"/>
    </row>
    <row r="300" ht="15" customHeight="1" s="52">
      <c r="A300" s="102" t="n"/>
      <c r="B300" s="100" t="n"/>
      <c r="C300" s="100" t="n"/>
      <c r="D300" s="100" t="n"/>
      <c r="E300" s="100" t="n"/>
      <c r="F300" s="100" t="n"/>
      <c r="G300" s="100" t="n"/>
    </row>
    <row r="301" ht="15" customHeight="1" s="52">
      <c r="A301" s="102" t="n"/>
      <c r="B301" s="100" t="n"/>
      <c r="C301" s="100" t="n"/>
      <c r="D301" s="100" t="n"/>
      <c r="E301" s="100" t="n"/>
      <c r="F301" s="100" t="n"/>
      <c r="G301" s="100" t="n"/>
    </row>
    <row r="302" ht="15" customHeight="1" s="52">
      <c r="A302" s="102" t="n"/>
      <c r="B302" s="100" t="n"/>
      <c r="C302" s="100" t="n"/>
      <c r="D302" s="100" t="n"/>
      <c r="E302" s="100" t="n"/>
      <c r="F302" s="100" t="n"/>
      <c r="G302" s="100" t="n"/>
    </row>
    <row r="303" ht="15" customHeight="1" s="52">
      <c r="A303" s="102" t="n"/>
      <c r="B303" s="100" t="n"/>
      <c r="C303" s="100" t="n"/>
      <c r="D303" s="100" t="n"/>
      <c r="E303" s="100" t="n"/>
      <c r="F303" s="100" t="n"/>
      <c r="G303" s="100" t="n"/>
    </row>
    <row r="304" ht="15" customHeight="1" s="52">
      <c r="A304" s="102" t="n"/>
      <c r="B304" s="100" t="n"/>
      <c r="C304" s="100" t="n"/>
      <c r="D304" s="100" t="n"/>
      <c r="E304" s="100" t="n"/>
      <c r="F304" s="100" t="n"/>
      <c r="G304" s="100" t="n"/>
    </row>
    <row r="305" ht="15" customHeight="1" s="52">
      <c r="A305" s="102" t="n"/>
      <c r="B305" s="100" t="n"/>
      <c r="C305" s="100" t="n"/>
      <c r="D305" s="100" t="n"/>
      <c r="E305" s="100" t="n"/>
      <c r="F305" s="100" t="n"/>
      <c r="G305" s="100" t="n"/>
    </row>
    <row r="306" ht="15" customHeight="1" s="52">
      <c r="A306" s="102" t="n"/>
      <c r="B306" s="100" t="n"/>
      <c r="C306" s="100" t="n"/>
      <c r="D306" s="100" t="n"/>
      <c r="E306" s="100" t="n"/>
      <c r="F306" s="100" t="n"/>
      <c r="G306" s="100" t="n"/>
    </row>
    <row r="307" ht="15" customHeight="1" s="52">
      <c r="A307" s="102" t="n"/>
      <c r="B307" s="100" t="n"/>
      <c r="C307" s="100" t="n"/>
      <c r="D307" s="100" t="n"/>
      <c r="E307" s="100" t="n"/>
      <c r="F307" s="100" t="n"/>
      <c r="G307" s="100" t="n"/>
    </row>
    <row r="308" ht="15" customHeight="1" s="52">
      <c r="A308" s="102" t="n"/>
      <c r="B308" s="100" t="n"/>
      <c r="C308" s="100" t="n"/>
      <c r="D308" s="100" t="n"/>
      <c r="E308" s="100" t="n"/>
      <c r="F308" s="100" t="n"/>
      <c r="G308" s="100" t="n"/>
    </row>
    <row r="309" ht="15" customHeight="1" s="52">
      <c r="A309" s="102" t="n"/>
      <c r="B309" s="100" t="n"/>
      <c r="C309" s="100" t="n"/>
      <c r="D309" s="100" t="n"/>
      <c r="E309" s="100" t="n"/>
      <c r="F309" s="100" t="n"/>
      <c r="G309" s="100" t="n"/>
    </row>
    <row r="310" ht="15" customHeight="1" s="52">
      <c r="A310" s="102" t="n"/>
      <c r="B310" s="100" t="n"/>
      <c r="C310" s="100" t="n"/>
      <c r="D310" s="100" t="n"/>
      <c r="E310" s="100" t="n"/>
      <c r="F310" s="100" t="n"/>
      <c r="G310" s="100" t="n"/>
    </row>
    <row r="311" ht="15" customHeight="1" s="52">
      <c r="A311" s="102" t="n"/>
      <c r="B311" s="100" t="n"/>
      <c r="C311" s="100" t="n"/>
      <c r="D311" s="100" t="n"/>
      <c r="E311" s="100" t="n"/>
      <c r="F311" s="100" t="n"/>
      <c r="G311" s="100" t="n"/>
    </row>
    <row r="312" ht="15" customHeight="1" s="52">
      <c r="A312" s="102" t="n"/>
      <c r="B312" s="100" t="n"/>
      <c r="C312" s="100" t="n"/>
      <c r="D312" s="100" t="n"/>
      <c r="E312" s="100" t="n"/>
      <c r="F312" s="100" t="n"/>
      <c r="G312" s="100" t="n"/>
    </row>
    <row r="313" ht="15" customHeight="1" s="52">
      <c r="A313" s="102" t="n"/>
      <c r="B313" s="100" t="n"/>
      <c r="C313" s="100" t="n"/>
      <c r="D313" s="100" t="n"/>
      <c r="E313" s="100" t="n"/>
      <c r="F313" s="100" t="n"/>
      <c r="G313" s="100" t="n"/>
    </row>
    <row r="314" ht="15" customHeight="1" s="52">
      <c r="A314" s="102" t="n"/>
      <c r="B314" s="100" t="n"/>
      <c r="C314" s="100" t="n"/>
      <c r="D314" s="100" t="n"/>
      <c r="E314" s="100" t="n"/>
      <c r="F314" s="100" t="n"/>
      <c r="G314" s="100" t="n"/>
    </row>
    <row r="315" ht="15" customHeight="1" s="52">
      <c r="A315" s="102" t="n"/>
      <c r="B315" s="100" t="n"/>
      <c r="C315" s="100" t="n"/>
      <c r="D315" s="100" t="n"/>
      <c r="E315" s="100" t="n"/>
      <c r="F315" s="100" t="n"/>
      <c r="G315" s="100" t="n"/>
    </row>
    <row r="316" ht="15" customHeight="1" s="52">
      <c r="A316" s="102" t="n"/>
      <c r="B316" s="100" t="n"/>
      <c r="C316" s="100" t="n"/>
      <c r="D316" s="100" t="n"/>
      <c r="E316" s="100" t="n"/>
      <c r="F316" s="100" t="n"/>
      <c r="G316" s="100" t="n"/>
    </row>
    <row r="317" ht="15" customHeight="1" s="52">
      <c r="A317" s="102" t="n"/>
      <c r="B317" s="100" t="n"/>
      <c r="C317" s="100" t="n"/>
      <c r="D317" s="100" t="n"/>
      <c r="E317" s="100" t="n"/>
      <c r="F317" s="100" t="n"/>
      <c r="G317" s="100" t="n"/>
    </row>
    <row r="318" ht="15" customHeight="1" s="52">
      <c r="A318" s="102" t="n"/>
      <c r="B318" s="100" t="n"/>
      <c r="C318" s="100" t="n"/>
      <c r="D318" s="100" t="n"/>
      <c r="E318" s="100" t="n"/>
      <c r="F318" s="100" t="n"/>
      <c r="G318" s="100" t="n"/>
    </row>
    <row r="319" ht="15" customHeight="1" s="52">
      <c r="A319" s="102" t="n"/>
      <c r="B319" s="100" t="n"/>
      <c r="C319" s="100" t="n"/>
      <c r="D319" s="100" t="n"/>
      <c r="E319" s="100" t="n"/>
      <c r="F319" s="100" t="n"/>
      <c r="G319" s="100" t="n"/>
    </row>
    <row r="320" ht="15" customHeight="1" s="52">
      <c r="A320" s="102" t="n"/>
      <c r="B320" s="100" t="n"/>
      <c r="C320" s="100" t="n"/>
      <c r="D320" s="100" t="n"/>
      <c r="E320" s="100" t="n"/>
      <c r="F320" s="100" t="n"/>
      <c r="G320" s="100" t="n"/>
    </row>
    <row r="321" ht="15" customHeight="1" s="52">
      <c r="A321" s="102" t="n"/>
      <c r="B321" s="100" t="n"/>
      <c r="C321" s="100" t="n"/>
      <c r="D321" s="100" t="n"/>
      <c r="E321" s="100" t="n"/>
      <c r="F321" s="100" t="n"/>
      <c r="G321" s="100" t="n"/>
    </row>
    <row r="322" ht="15" customHeight="1" s="52">
      <c r="A322" s="102" t="n"/>
      <c r="B322" s="100" t="n"/>
      <c r="C322" s="100" t="n"/>
      <c r="D322" s="100" t="n"/>
      <c r="E322" s="100" t="n"/>
      <c r="F322" s="100" t="n"/>
      <c r="G322" s="100" t="n"/>
    </row>
    <row r="323" ht="15" customHeight="1" s="52">
      <c r="A323" s="102" t="n"/>
      <c r="B323" s="100" t="n"/>
      <c r="C323" s="100" t="n"/>
      <c r="D323" s="100" t="n"/>
      <c r="E323" s="100" t="n"/>
      <c r="F323" s="100" t="n"/>
      <c r="G323" s="100" t="n"/>
    </row>
    <row r="324" ht="15" customHeight="1" s="52">
      <c r="A324" s="102" t="n"/>
      <c r="B324" s="100" t="n"/>
      <c r="C324" s="100" t="n"/>
      <c r="D324" s="100" t="n"/>
      <c r="E324" s="100" t="n"/>
      <c r="F324" s="100" t="n"/>
      <c r="G324" s="100" t="n"/>
    </row>
    <row r="325" ht="15" customHeight="1" s="52">
      <c r="A325" s="102" t="n"/>
      <c r="B325" s="100" t="n"/>
      <c r="C325" s="100" t="n"/>
      <c r="D325" s="100" t="n"/>
      <c r="E325" s="100" t="n"/>
      <c r="F325" s="100" t="n"/>
      <c r="G325" s="100" t="n"/>
    </row>
    <row r="326" ht="15" customHeight="1" s="52">
      <c r="A326" s="102" t="n"/>
      <c r="B326" s="100" t="n"/>
      <c r="C326" s="100" t="n"/>
      <c r="D326" s="100" t="n"/>
      <c r="E326" s="100" t="n"/>
      <c r="F326" s="100" t="n"/>
      <c r="G326" s="100" t="n"/>
    </row>
    <row r="327" ht="15" customHeight="1" s="52">
      <c r="A327" s="102" t="n"/>
      <c r="B327" s="100" t="n"/>
      <c r="C327" s="100" t="n"/>
      <c r="D327" s="100" t="n"/>
      <c r="E327" s="100" t="n"/>
      <c r="F327" s="100" t="n"/>
      <c r="G327" s="100" t="n"/>
    </row>
    <row r="328" ht="15" customHeight="1" s="52">
      <c r="A328" s="102" t="n"/>
      <c r="B328" s="100" t="n"/>
      <c r="C328" s="100" t="n"/>
      <c r="D328" s="100" t="n"/>
      <c r="E328" s="100" t="n"/>
      <c r="F328" s="100" t="n"/>
      <c r="G328" s="100" t="n"/>
    </row>
    <row r="329" ht="15" customHeight="1" s="52">
      <c r="A329" s="102" t="n"/>
      <c r="B329" s="100" t="n"/>
      <c r="C329" s="100" t="n"/>
      <c r="D329" s="100" t="n"/>
      <c r="E329" s="100" t="n"/>
      <c r="F329" s="100" t="n"/>
      <c r="G329" s="100" t="n"/>
    </row>
    <row r="330" ht="15" customHeight="1" s="52">
      <c r="A330" s="102" t="n"/>
      <c r="B330" s="100" t="n"/>
      <c r="C330" s="100" t="n"/>
      <c r="D330" s="100" t="n"/>
      <c r="E330" s="100" t="n"/>
      <c r="F330" s="100" t="n"/>
      <c r="G330" s="100" t="n"/>
    </row>
    <row r="331" ht="15" customHeight="1" s="52">
      <c r="A331" s="102" t="n"/>
      <c r="B331" s="100" t="n"/>
      <c r="C331" s="100" t="n"/>
      <c r="D331" s="100" t="n"/>
      <c r="E331" s="100" t="n"/>
      <c r="F331" s="100" t="n"/>
      <c r="G331" s="100" t="n"/>
    </row>
    <row r="332" ht="15" customHeight="1" s="52">
      <c r="A332" s="102" t="n"/>
      <c r="B332" s="100" t="n"/>
      <c r="C332" s="100" t="n"/>
      <c r="D332" s="100" t="n"/>
      <c r="E332" s="100" t="n"/>
      <c r="F332" s="100" t="n"/>
      <c r="G332" s="100" t="n"/>
    </row>
    <row r="333" ht="15" customHeight="1" s="52">
      <c r="A333" s="102" t="n"/>
      <c r="B333" s="100" t="n"/>
      <c r="C333" s="100" t="n"/>
      <c r="D333" s="100" t="n"/>
      <c r="E333" s="100" t="n"/>
      <c r="F333" s="100" t="n"/>
      <c r="G333" s="100" t="n"/>
    </row>
    <row r="334" ht="15" customHeight="1" s="52">
      <c r="A334" s="102" t="n"/>
      <c r="B334" s="100" t="n"/>
      <c r="C334" s="100" t="n"/>
      <c r="D334" s="100" t="n"/>
      <c r="E334" s="100" t="n"/>
      <c r="F334" s="100" t="n"/>
      <c r="G334" s="100" t="n"/>
    </row>
    <row r="335" ht="15" customHeight="1" s="52">
      <c r="A335" s="102" t="n"/>
      <c r="B335" s="100" t="n"/>
      <c r="C335" s="100" t="n"/>
      <c r="D335" s="100" t="n"/>
      <c r="E335" s="100" t="n"/>
      <c r="F335" s="100" t="n"/>
      <c r="G335" s="100" t="n"/>
    </row>
    <row r="336" ht="15" customHeight="1" s="52">
      <c r="A336" s="102" t="n"/>
      <c r="B336" s="100" t="n"/>
      <c r="C336" s="100" t="n"/>
      <c r="D336" s="100" t="n"/>
      <c r="E336" s="100" t="n"/>
      <c r="F336" s="100" t="n"/>
      <c r="G336" s="100" t="n"/>
    </row>
    <row r="337" ht="15" customHeight="1" s="52">
      <c r="A337" s="102" t="n"/>
      <c r="B337" s="100" t="n"/>
      <c r="C337" s="100" t="n"/>
      <c r="D337" s="100" t="n"/>
      <c r="E337" s="100" t="n"/>
      <c r="F337" s="100" t="n"/>
      <c r="G337" s="100" t="n"/>
    </row>
    <row r="338" ht="15" customHeight="1" s="52">
      <c r="A338" s="102" t="n"/>
      <c r="B338" s="100" t="n"/>
      <c r="C338" s="100" t="n"/>
      <c r="D338" s="100" t="n"/>
      <c r="E338" s="100" t="n"/>
      <c r="F338" s="100" t="n"/>
      <c r="G338" s="100" t="n"/>
    </row>
    <row r="339" ht="15" customHeight="1" s="52">
      <c r="A339" s="102" t="n"/>
      <c r="B339" s="100" t="n"/>
      <c r="C339" s="100" t="n"/>
      <c r="D339" s="100" t="n"/>
      <c r="E339" s="100" t="n"/>
      <c r="F339" s="100" t="n"/>
      <c r="G339" s="100" t="n"/>
    </row>
    <row r="340" ht="15" customHeight="1" s="52">
      <c r="A340" s="102" t="n"/>
      <c r="B340" s="100" t="n"/>
      <c r="C340" s="100" t="n"/>
      <c r="D340" s="100" t="n"/>
      <c r="E340" s="100" t="n"/>
      <c r="F340" s="100" t="n"/>
      <c r="G340" s="100" t="n"/>
    </row>
    <row r="341" ht="15" customHeight="1" s="52">
      <c r="A341" s="102" t="n"/>
      <c r="B341" s="100" t="n"/>
      <c r="C341" s="100" t="n"/>
      <c r="D341" s="100" t="n"/>
      <c r="E341" s="100" t="n"/>
      <c r="F341" s="100" t="n"/>
      <c r="G341" s="100" t="n"/>
    </row>
    <row r="342" ht="15" customHeight="1" s="52">
      <c r="A342" s="102" t="n"/>
      <c r="B342" s="100" t="n"/>
      <c r="C342" s="100" t="n"/>
      <c r="D342" s="100" t="n"/>
      <c r="E342" s="100" t="n"/>
      <c r="F342" s="100" t="n"/>
      <c r="G342" s="100" t="n"/>
    </row>
    <row r="343" ht="15" customHeight="1" s="52">
      <c r="A343" s="102" t="n"/>
      <c r="B343" s="100" t="n"/>
      <c r="C343" s="100" t="n"/>
      <c r="D343" s="100" t="n"/>
      <c r="E343" s="100" t="n"/>
      <c r="F343" s="100" t="n"/>
      <c r="G343" s="100" t="n"/>
    </row>
    <row r="344" ht="15" customHeight="1" s="52">
      <c r="A344" s="102" t="n"/>
      <c r="B344" s="100" t="n"/>
      <c r="C344" s="100" t="n"/>
      <c r="D344" s="100" t="n"/>
      <c r="E344" s="100" t="n"/>
      <c r="F344" s="100" t="n"/>
      <c r="G344" s="100" t="n"/>
    </row>
    <row r="345" ht="15" customHeight="1" s="52">
      <c r="A345" s="102" t="n"/>
      <c r="B345" s="100" t="n"/>
      <c r="C345" s="100" t="n"/>
      <c r="D345" s="100" t="n"/>
      <c r="E345" s="100" t="n"/>
      <c r="F345" s="100" t="n"/>
      <c r="G345" s="100" t="n"/>
    </row>
    <row r="346" ht="15" customHeight="1" s="52">
      <c r="A346" s="102" t="n"/>
      <c r="B346" s="100" t="n"/>
      <c r="C346" s="100" t="n"/>
      <c r="D346" s="100" t="n"/>
      <c r="E346" s="100" t="n"/>
      <c r="F346" s="100" t="n"/>
      <c r="G346" s="100" t="n"/>
    </row>
    <row r="347" ht="15" customHeight="1" s="52">
      <c r="A347" s="102" t="n"/>
      <c r="B347" s="100" t="n"/>
      <c r="C347" s="100" t="n"/>
      <c r="D347" s="100" t="n"/>
      <c r="E347" s="100" t="n"/>
      <c r="F347" s="100" t="n"/>
      <c r="G347" s="100" t="n"/>
    </row>
    <row r="348" ht="15" customHeight="1" s="52">
      <c r="A348" s="102" t="n"/>
      <c r="B348" s="100" t="n"/>
      <c r="C348" s="100" t="n"/>
      <c r="D348" s="100" t="n"/>
      <c r="E348" s="100" t="n"/>
      <c r="F348" s="100" t="n"/>
      <c r="G348" s="100" t="n"/>
    </row>
    <row r="349" ht="15" customHeight="1" s="52">
      <c r="A349" s="102" t="n"/>
      <c r="B349" s="100" t="n"/>
      <c r="C349" s="100" t="n"/>
      <c r="D349" s="100" t="n"/>
      <c r="E349" s="100" t="n"/>
      <c r="F349" s="100" t="n"/>
      <c r="G349" s="100" t="n"/>
    </row>
    <row r="350" ht="15" customHeight="1" s="52">
      <c r="A350" s="102" t="n"/>
      <c r="B350" s="100" t="n"/>
      <c r="C350" s="100" t="n"/>
      <c r="D350" s="100" t="n"/>
      <c r="E350" s="100" t="n"/>
      <c r="F350" s="100" t="n"/>
      <c r="G350" s="100" t="n"/>
    </row>
    <row r="351" ht="15" customHeight="1" s="52">
      <c r="A351" s="102" t="n"/>
      <c r="B351" s="100" t="n"/>
      <c r="C351" s="100" t="n"/>
      <c r="D351" s="100" t="n"/>
      <c r="E351" s="100" t="n"/>
      <c r="F351" s="100" t="n"/>
      <c r="G351" s="100" t="n"/>
    </row>
    <row r="352" ht="15" customHeight="1" s="52">
      <c r="A352" s="102" t="n"/>
      <c r="B352" s="100" t="n"/>
      <c r="C352" s="100" t="n"/>
      <c r="D352" s="100" t="n"/>
      <c r="E352" s="100" t="n"/>
      <c r="F352" s="100" t="n"/>
      <c r="G352" s="100" t="n"/>
    </row>
    <row r="353" ht="15" customHeight="1" s="52">
      <c r="A353" s="102" t="n"/>
      <c r="B353" s="100" t="n"/>
      <c r="C353" s="100" t="n"/>
      <c r="D353" s="100" t="n"/>
      <c r="E353" s="100" t="n"/>
      <c r="F353" s="100" t="n"/>
      <c r="G353" s="100" t="n"/>
    </row>
    <row r="354" ht="15" customHeight="1" s="52">
      <c r="A354" s="102" t="n"/>
      <c r="B354" s="100" t="n"/>
      <c r="C354" s="100" t="n"/>
      <c r="D354" s="100" t="n"/>
      <c r="E354" s="100" t="n"/>
      <c r="F354" s="100" t="n"/>
      <c r="G354" s="100" t="n"/>
    </row>
    <row r="355" ht="15" customHeight="1" s="52">
      <c r="A355" s="102" t="n"/>
      <c r="B355" s="100" t="n"/>
      <c r="C355" s="100" t="n"/>
      <c r="D355" s="100" t="n"/>
      <c r="E355" s="100" t="n"/>
      <c r="F355" s="100" t="n"/>
      <c r="G355" s="100" t="n"/>
    </row>
    <row r="356" ht="15" customHeight="1" s="52">
      <c r="A356" s="102" t="n"/>
      <c r="B356" s="100" t="n"/>
      <c r="C356" s="100" t="n"/>
      <c r="D356" s="100" t="n"/>
      <c r="E356" s="100" t="n"/>
      <c r="F356" s="100" t="n"/>
      <c r="G356" s="100" t="n"/>
    </row>
    <row r="357" ht="15" customHeight="1" s="52">
      <c r="A357" s="102" t="n"/>
      <c r="B357" s="100" t="n"/>
      <c r="C357" s="100" t="n"/>
      <c r="D357" s="100" t="n"/>
      <c r="E357" s="100" t="n"/>
      <c r="F357" s="100" t="n"/>
      <c r="G357" s="100" t="n"/>
    </row>
    <row r="358" ht="15" customHeight="1" s="52">
      <c r="A358" s="102" t="n"/>
      <c r="B358" s="100" t="n"/>
      <c r="C358" s="100" t="n"/>
      <c r="D358" s="100" t="n"/>
      <c r="E358" s="100" t="n"/>
      <c r="F358" s="100" t="n"/>
      <c r="G358" s="100" t="n"/>
    </row>
    <row r="359" ht="15" customHeight="1" s="52">
      <c r="A359" s="102" t="n"/>
      <c r="B359" s="100" t="n"/>
      <c r="C359" s="100" t="n"/>
      <c r="D359" s="100" t="n"/>
      <c r="E359" s="100" t="n"/>
      <c r="F359" s="100" t="n"/>
      <c r="G359" s="100" t="n"/>
    </row>
    <row r="360" ht="15" customHeight="1" s="52">
      <c r="A360" s="102" t="n"/>
      <c r="B360" s="100" t="n"/>
      <c r="C360" s="100" t="n"/>
      <c r="D360" s="100" t="n"/>
      <c r="E360" s="100" t="n"/>
      <c r="F360" s="100" t="n"/>
      <c r="G360" s="100" t="n"/>
    </row>
    <row r="361" ht="15" customHeight="1" s="52">
      <c r="A361" s="102" t="n"/>
      <c r="B361" s="100" t="n"/>
      <c r="C361" s="100" t="n"/>
      <c r="D361" s="100" t="n"/>
      <c r="E361" s="100" t="n"/>
      <c r="F361" s="100" t="n"/>
      <c r="G361" s="100" t="n"/>
    </row>
    <row r="362" ht="15" customHeight="1" s="52">
      <c r="A362" s="102" t="n"/>
      <c r="B362" s="100" t="n"/>
      <c r="C362" s="100" t="n"/>
      <c r="D362" s="100" t="n"/>
      <c r="E362" s="100" t="n"/>
      <c r="F362" s="100" t="n"/>
      <c r="G362" s="100" t="n"/>
    </row>
    <row r="363" ht="15" customHeight="1" s="52">
      <c r="A363" s="102" t="n"/>
      <c r="B363" s="100" t="n"/>
      <c r="C363" s="100" t="n"/>
      <c r="D363" s="100" t="n"/>
      <c r="E363" s="100" t="n"/>
      <c r="F363" s="100" t="n"/>
      <c r="G363" s="100" t="n"/>
    </row>
    <row r="364" ht="15" customHeight="1" s="52">
      <c r="A364" s="102" t="n"/>
      <c r="B364" s="100" t="n"/>
      <c r="C364" s="100" t="n"/>
      <c r="D364" s="100" t="n"/>
      <c r="E364" s="100" t="n"/>
      <c r="F364" s="100" t="n"/>
      <c r="G364" s="100" t="n"/>
    </row>
    <row r="365" ht="15" customHeight="1" s="52">
      <c r="A365" s="102" t="n"/>
      <c r="B365" s="100" t="n"/>
      <c r="C365" s="100" t="n"/>
      <c r="D365" s="100" t="n"/>
      <c r="E365" s="100" t="n"/>
      <c r="F365" s="100" t="n"/>
      <c r="G365" s="100" t="n"/>
    </row>
    <row r="366" ht="15" customHeight="1" s="52">
      <c r="A366" s="102" t="n"/>
      <c r="B366" s="100" t="n"/>
      <c r="C366" s="100" t="n"/>
      <c r="D366" s="100" t="n"/>
      <c r="E366" s="100" t="n"/>
      <c r="F366" s="100" t="n"/>
      <c r="G366" s="100" t="n"/>
    </row>
    <row r="367" ht="15" customHeight="1" s="52">
      <c r="A367" s="102" t="n"/>
      <c r="B367" s="100" t="n"/>
      <c r="C367" s="100" t="n"/>
      <c r="D367" s="100" t="n"/>
      <c r="E367" s="100" t="n"/>
      <c r="F367" s="100" t="n"/>
      <c r="G367" s="100" t="n"/>
    </row>
    <row r="368" ht="15" customHeight="1" s="52">
      <c r="A368" s="102" t="n"/>
      <c r="B368" s="100" t="n"/>
      <c r="C368" s="100" t="n"/>
      <c r="D368" s="100" t="n"/>
      <c r="E368" s="100" t="n"/>
      <c r="F368" s="100" t="n"/>
      <c r="G368" s="100" t="n"/>
    </row>
    <row r="369" ht="15" customHeight="1" s="52">
      <c r="A369" s="102" t="n"/>
      <c r="B369" s="100" t="n"/>
      <c r="C369" s="100" t="n"/>
      <c r="D369" s="100" t="n"/>
      <c r="E369" s="100" t="n"/>
      <c r="F369" s="100" t="n"/>
      <c r="G369" s="100" t="n"/>
    </row>
    <row r="370" ht="15" customHeight="1" s="52">
      <c r="A370" s="102" t="n"/>
      <c r="B370" s="100" t="n"/>
      <c r="C370" s="100" t="n"/>
      <c r="D370" s="100" t="n"/>
      <c r="E370" s="100" t="n"/>
      <c r="F370" s="100" t="n"/>
      <c r="G370" s="100" t="n"/>
    </row>
    <row r="371" ht="15" customHeight="1" s="52">
      <c r="A371" s="102" t="n"/>
      <c r="B371" s="100" t="n"/>
      <c r="C371" s="100" t="n"/>
      <c r="D371" s="100" t="n"/>
      <c r="E371" s="100" t="n"/>
      <c r="F371" s="100" t="n"/>
      <c r="G371" s="100" t="n"/>
    </row>
    <row r="372" ht="15" customHeight="1" s="52">
      <c r="A372" s="102" t="n"/>
      <c r="B372" s="100" t="n"/>
      <c r="C372" s="100" t="n"/>
      <c r="D372" s="100" t="n"/>
      <c r="E372" s="100" t="n"/>
      <c r="F372" s="100" t="n"/>
      <c r="G372" s="100" t="n"/>
    </row>
    <row r="373" ht="15" customHeight="1" s="52">
      <c r="A373" s="102" t="n"/>
      <c r="B373" s="100" t="n"/>
      <c r="C373" s="100" t="n"/>
      <c r="D373" s="100" t="n"/>
      <c r="E373" s="100" t="n"/>
      <c r="F373" s="100" t="n"/>
      <c r="G373" s="100" t="n"/>
    </row>
    <row r="374" ht="15" customHeight="1" s="52">
      <c r="A374" s="102" t="n"/>
      <c r="B374" s="100" t="n"/>
      <c r="C374" s="100" t="n"/>
      <c r="D374" s="100" t="n"/>
      <c r="E374" s="100" t="n"/>
      <c r="F374" s="100" t="n"/>
      <c r="G374" s="100" t="n"/>
    </row>
    <row r="375" ht="15" customHeight="1" s="52">
      <c r="A375" s="102" t="n"/>
      <c r="B375" s="100" t="n"/>
      <c r="C375" s="100" t="n"/>
      <c r="D375" s="100" t="n"/>
      <c r="E375" s="100" t="n"/>
      <c r="F375" s="100" t="n"/>
      <c r="G375" s="100" t="n"/>
    </row>
    <row r="376" ht="15" customHeight="1" s="52">
      <c r="A376" s="102" t="n"/>
      <c r="B376" s="100" t="n"/>
      <c r="C376" s="100" t="n"/>
      <c r="D376" s="100" t="n"/>
      <c r="E376" s="100" t="n"/>
      <c r="F376" s="100" t="n"/>
      <c r="G376" s="100" t="n"/>
    </row>
    <row r="377" ht="15" customHeight="1" s="52">
      <c r="A377" s="102" t="n"/>
      <c r="B377" s="100" t="n"/>
      <c r="C377" s="100" t="n"/>
      <c r="D377" s="100" t="n"/>
      <c r="E377" s="100" t="n"/>
      <c r="F377" s="100" t="n"/>
      <c r="G377" s="100" t="n"/>
    </row>
    <row r="378" ht="15" customHeight="1" s="52">
      <c r="A378" s="102" t="n"/>
      <c r="B378" s="100" t="n"/>
      <c r="C378" s="100" t="n"/>
      <c r="D378" s="100" t="n"/>
      <c r="E378" s="100" t="n"/>
      <c r="F378" s="100" t="n"/>
      <c r="G378" s="100" t="n"/>
    </row>
    <row r="379" ht="15" customHeight="1" s="52">
      <c r="A379" s="102" t="n"/>
      <c r="B379" s="100" t="n"/>
      <c r="C379" s="100" t="n"/>
      <c r="D379" s="100" t="n"/>
      <c r="E379" s="100" t="n"/>
      <c r="F379" s="100" t="n"/>
      <c r="G379" s="100" t="n"/>
    </row>
    <row r="380" ht="15" customHeight="1" s="52">
      <c r="A380" s="102" t="n"/>
      <c r="B380" s="100" t="n"/>
      <c r="C380" s="100" t="n"/>
      <c r="D380" s="100" t="n"/>
      <c r="E380" s="100" t="n"/>
      <c r="F380" s="100" t="n"/>
      <c r="G380" s="100" t="n"/>
    </row>
    <row r="381" ht="15" customHeight="1" s="52">
      <c r="A381" s="102" t="n"/>
      <c r="B381" s="100" t="n"/>
      <c r="C381" s="100" t="n"/>
      <c r="D381" s="100" t="n"/>
      <c r="E381" s="100" t="n"/>
      <c r="F381" s="100" t="n"/>
      <c r="G381" s="100" t="n"/>
    </row>
    <row r="382" ht="15" customHeight="1" s="52">
      <c r="A382" s="102" t="n"/>
      <c r="B382" s="100" t="n"/>
      <c r="C382" s="100" t="n"/>
      <c r="D382" s="100" t="n"/>
      <c r="E382" s="100" t="n"/>
      <c r="F382" s="100" t="n"/>
      <c r="G382" s="100" t="n"/>
    </row>
    <row r="383" ht="15" customHeight="1" s="52">
      <c r="A383" s="102" t="n"/>
      <c r="B383" s="100" t="n"/>
      <c r="C383" s="100" t="n"/>
      <c r="D383" s="100" t="n"/>
      <c r="E383" s="100" t="n"/>
      <c r="F383" s="100" t="n"/>
      <c r="G383" s="100" t="n"/>
    </row>
    <row r="384" ht="15" customHeight="1" s="52">
      <c r="A384" s="102" t="n"/>
      <c r="B384" s="100" t="n"/>
      <c r="C384" s="100" t="n"/>
      <c r="D384" s="100" t="n"/>
      <c r="E384" s="100" t="n"/>
      <c r="F384" s="100" t="n"/>
      <c r="G384" s="100" t="n"/>
    </row>
    <row r="385" ht="15" customHeight="1" s="52">
      <c r="A385" s="102" t="n"/>
      <c r="B385" s="100" t="n"/>
      <c r="C385" s="100" t="n"/>
      <c r="D385" s="100" t="n"/>
      <c r="E385" s="100" t="n"/>
      <c r="F385" s="100" t="n"/>
      <c r="G385" s="100" t="n"/>
    </row>
    <row r="386" ht="15" customHeight="1" s="52">
      <c r="A386" s="102" t="n"/>
      <c r="B386" s="100" t="n"/>
      <c r="C386" s="100" t="n"/>
      <c r="D386" s="100" t="n"/>
      <c r="E386" s="100" t="n"/>
      <c r="F386" s="100" t="n"/>
      <c r="G386" s="100" t="n"/>
    </row>
    <row r="387" ht="15" customHeight="1" s="52">
      <c r="A387" s="102" t="n"/>
      <c r="B387" s="100" t="n"/>
      <c r="C387" s="100" t="n"/>
      <c r="D387" s="100" t="n"/>
      <c r="E387" s="100" t="n"/>
      <c r="F387" s="100" t="n"/>
      <c r="G387" s="100" t="n"/>
    </row>
    <row r="388" ht="15" customHeight="1" s="52">
      <c r="A388" s="102" t="n"/>
      <c r="B388" s="100" t="n"/>
      <c r="C388" s="100" t="n"/>
      <c r="D388" s="100" t="n"/>
      <c r="E388" s="100" t="n"/>
      <c r="F388" s="100" t="n"/>
      <c r="G388" s="100" t="n"/>
    </row>
    <row r="389" ht="15" customHeight="1" s="52">
      <c r="A389" s="102" t="n"/>
      <c r="B389" s="100" t="n"/>
      <c r="C389" s="100" t="n"/>
      <c r="D389" s="100" t="n"/>
      <c r="E389" s="100" t="n"/>
      <c r="F389" s="100" t="n"/>
      <c r="G389" s="100" t="n"/>
    </row>
    <row r="390" ht="15" customHeight="1" s="52">
      <c r="A390" s="102" t="n"/>
      <c r="B390" s="100" t="n"/>
      <c r="C390" s="100" t="n"/>
      <c r="D390" s="100" t="n"/>
      <c r="E390" s="100" t="n"/>
      <c r="F390" s="100" t="n"/>
      <c r="G390" s="100" t="n"/>
    </row>
    <row r="391" ht="15" customHeight="1" s="52">
      <c r="A391" s="102" t="n"/>
      <c r="B391" s="100" t="n"/>
      <c r="C391" s="100" t="n"/>
      <c r="D391" s="100" t="n"/>
      <c r="E391" s="100" t="n"/>
      <c r="F391" s="100" t="n"/>
      <c r="G391" s="100" t="n"/>
    </row>
    <row r="392" ht="15" customHeight="1" s="52">
      <c r="A392" s="102" t="n"/>
      <c r="B392" s="100" t="n"/>
      <c r="C392" s="100" t="n"/>
      <c r="D392" s="100" t="n"/>
      <c r="E392" s="100" t="n"/>
      <c r="F392" s="100" t="n"/>
      <c r="G392" s="100" t="n"/>
    </row>
    <row r="393" ht="15" customHeight="1" s="52">
      <c r="A393" s="102" t="n"/>
      <c r="B393" s="100" t="n"/>
      <c r="C393" s="100" t="n"/>
      <c r="D393" s="100" t="n"/>
      <c r="E393" s="100" t="n"/>
      <c r="F393" s="100" t="n"/>
      <c r="G393" s="100" t="n"/>
    </row>
    <row r="394" ht="15" customHeight="1" s="52">
      <c r="A394" s="102" t="n"/>
      <c r="B394" s="100" t="n"/>
      <c r="C394" s="100" t="n"/>
      <c r="D394" s="100" t="n"/>
      <c r="E394" s="100" t="n"/>
      <c r="F394" s="100" t="n"/>
      <c r="G394" s="100" t="n"/>
    </row>
    <row r="395" ht="15" customHeight="1" s="52">
      <c r="A395" s="102" t="n"/>
      <c r="B395" s="100" t="n"/>
      <c r="C395" s="100" t="n"/>
      <c r="D395" s="100" t="n"/>
      <c r="E395" s="100" t="n"/>
      <c r="F395" s="100" t="n"/>
      <c r="G395" s="100" t="n"/>
    </row>
    <row r="396" ht="15" customHeight="1" s="52">
      <c r="A396" s="102" t="n"/>
      <c r="B396" s="100" t="n"/>
      <c r="C396" s="100" t="n"/>
      <c r="D396" s="100" t="n"/>
      <c r="E396" s="100" t="n"/>
      <c r="F396" s="100" t="n"/>
      <c r="G396" s="100" t="n"/>
    </row>
    <row r="397" ht="15" customHeight="1" s="52">
      <c r="A397" s="102" t="n"/>
      <c r="B397" s="100" t="n"/>
      <c r="C397" s="100" t="n"/>
      <c r="D397" s="100" t="n"/>
      <c r="E397" s="100" t="n"/>
      <c r="F397" s="100" t="n"/>
      <c r="G397" s="100" t="n"/>
    </row>
    <row r="398" ht="15" customHeight="1" s="52">
      <c r="A398" s="102" t="n"/>
      <c r="B398" s="100" t="n"/>
      <c r="C398" s="100" t="n"/>
      <c r="D398" s="100" t="n"/>
      <c r="E398" s="100" t="n"/>
      <c r="F398" s="100" t="n"/>
      <c r="G398" s="100" t="n"/>
    </row>
    <row r="399" ht="15" customHeight="1" s="52">
      <c r="A399" s="102" t="n"/>
      <c r="B399" s="100" t="n"/>
      <c r="C399" s="100" t="n"/>
      <c r="D399" s="100" t="n"/>
      <c r="E399" s="100" t="n"/>
      <c r="F399" s="100" t="n"/>
      <c r="G399" s="100" t="n"/>
    </row>
    <row r="400" ht="15" customHeight="1" s="52">
      <c r="A400" s="102" t="n"/>
      <c r="B400" s="100" t="n"/>
      <c r="C400" s="100" t="n"/>
      <c r="D400" s="100" t="n"/>
      <c r="E400" s="100" t="n"/>
      <c r="F400" s="100" t="n"/>
      <c r="G400" s="100" t="n"/>
    </row>
    <row r="401" ht="15" customHeight="1" s="52">
      <c r="A401" s="102" t="n"/>
      <c r="B401" s="100" t="n"/>
      <c r="C401" s="100" t="n"/>
      <c r="D401" s="100" t="n"/>
      <c r="E401" s="100" t="n"/>
      <c r="F401" s="100" t="n"/>
      <c r="G401" s="100" t="n"/>
    </row>
    <row r="402" ht="15" customHeight="1" s="52">
      <c r="A402" s="102" t="n"/>
      <c r="B402" s="100" t="n"/>
      <c r="C402" s="100" t="n"/>
      <c r="D402" s="100" t="n"/>
      <c r="E402" s="100" t="n"/>
      <c r="F402" s="100" t="n"/>
      <c r="G402" s="100" t="n"/>
    </row>
    <row r="403" ht="15" customHeight="1" s="52">
      <c r="A403" s="102" t="n"/>
      <c r="B403" s="100" t="n"/>
      <c r="C403" s="100" t="n"/>
      <c r="D403" s="100" t="n"/>
      <c r="E403" s="100" t="n"/>
      <c r="F403" s="100" t="n"/>
      <c r="G403" s="100" t="n"/>
    </row>
    <row r="404" ht="15" customHeight="1" s="52">
      <c r="A404" s="102" t="n"/>
      <c r="B404" s="100" t="n"/>
      <c r="C404" s="100" t="n"/>
      <c r="D404" s="100" t="n"/>
      <c r="E404" s="100" t="n"/>
      <c r="F404" s="100" t="n"/>
      <c r="G404" s="100" t="n"/>
    </row>
    <row r="405" ht="15" customHeight="1" s="52">
      <c r="A405" s="102" t="n"/>
      <c r="B405" s="100" t="n"/>
      <c r="C405" s="100" t="n"/>
      <c r="D405" s="100" t="n"/>
      <c r="E405" s="100" t="n"/>
      <c r="F405" s="100" t="n"/>
      <c r="G405" s="100" t="n"/>
    </row>
    <row r="406" ht="15" customHeight="1" s="52">
      <c r="A406" s="102" t="n"/>
      <c r="B406" s="100" t="n"/>
      <c r="C406" s="100" t="n"/>
      <c r="D406" s="100" t="n"/>
      <c r="E406" s="100" t="n"/>
      <c r="F406" s="100" t="n"/>
      <c r="G406" s="100" t="n"/>
    </row>
    <row r="407" ht="15" customHeight="1" s="52">
      <c r="A407" s="102" t="n"/>
      <c r="B407" s="100" t="n"/>
      <c r="C407" s="100" t="n"/>
      <c r="D407" s="100" t="n"/>
      <c r="E407" s="100" t="n"/>
      <c r="F407" s="100" t="n"/>
      <c r="G407" s="100" t="n"/>
    </row>
    <row r="408" ht="15" customHeight="1" s="52">
      <c r="A408" s="102" t="n"/>
      <c r="B408" s="100" t="n"/>
      <c r="C408" s="100" t="n"/>
      <c r="D408" s="100" t="n"/>
      <c r="E408" s="100" t="n"/>
      <c r="F408" s="100" t="n"/>
      <c r="G408" s="100" t="n"/>
    </row>
    <row r="409" ht="15" customHeight="1" s="52">
      <c r="A409" s="102" t="n"/>
      <c r="B409" s="100" t="n"/>
      <c r="C409" s="100" t="n"/>
      <c r="D409" s="100" t="n"/>
      <c r="E409" s="100" t="n"/>
      <c r="F409" s="100" t="n"/>
      <c r="G409" s="100" t="n"/>
    </row>
    <row r="410" ht="15" customHeight="1" s="52">
      <c r="A410" s="102" t="n"/>
      <c r="B410" s="100" t="n"/>
      <c r="C410" s="100" t="n"/>
      <c r="D410" s="100" t="n"/>
      <c r="E410" s="100" t="n"/>
      <c r="F410" s="100" t="n"/>
      <c r="G410" s="100" t="n"/>
    </row>
    <row r="411" ht="15" customHeight="1" s="52">
      <c r="A411" s="102" t="n"/>
      <c r="B411" s="100" t="n"/>
      <c r="C411" s="100" t="n"/>
      <c r="D411" s="100" t="n"/>
      <c r="E411" s="100" t="n"/>
      <c r="F411" s="100" t="n"/>
      <c r="G411" s="100" t="n"/>
    </row>
    <row r="412" ht="15" customHeight="1" s="52">
      <c r="A412" s="102" t="n"/>
      <c r="B412" s="100" t="n"/>
      <c r="C412" s="100" t="n"/>
      <c r="D412" s="100" t="n"/>
      <c r="E412" s="100" t="n"/>
      <c r="F412" s="100" t="n"/>
      <c r="G412" s="100" t="n"/>
    </row>
    <row r="413" ht="15" customHeight="1" s="52">
      <c r="A413" s="102" t="n"/>
      <c r="B413" s="100" t="n"/>
      <c r="C413" s="100" t="n"/>
      <c r="D413" s="100" t="n"/>
      <c r="E413" s="100" t="n"/>
      <c r="F413" s="100" t="n"/>
      <c r="G413" s="100" t="n"/>
    </row>
    <row r="414" ht="15" customHeight="1" s="52">
      <c r="A414" s="102" t="n"/>
      <c r="B414" s="100" t="n"/>
      <c r="C414" s="100" t="n"/>
      <c r="D414" s="100" t="n"/>
      <c r="E414" s="100" t="n"/>
      <c r="F414" s="100" t="n"/>
      <c r="G414" s="100" t="n"/>
    </row>
    <row r="415" ht="15" customHeight="1" s="52">
      <c r="A415" s="102" t="n"/>
      <c r="B415" s="100" t="n"/>
      <c r="C415" s="100" t="n"/>
      <c r="D415" s="100" t="n"/>
      <c r="E415" s="100" t="n"/>
      <c r="F415" s="100" t="n"/>
      <c r="G415" s="100" t="n"/>
    </row>
    <row r="416" ht="15" customHeight="1" s="52">
      <c r="A416" s="102" t="n"/>
      <c r="B416" s="100" t="n"/>
      <c r="C416" s="100" t="n"/>
      <c r="D416" s="100" t="n"/>
      <c r="E416" s="100" t="n"/>
      <c r="F416" s="100" t="n"/>
      <c r="G416" s="100" t="n"/>
    </row>
    <row r="417" ht="15" customHeight="1" s="52">
      <c r="A417" s="102" t="n"/>
      <c r="B417" s="100" t="n"/>
      <c r="C417" s="100" t="n"/>
      <c r="D417" s="100" t="n"/>
      <c r="E417" s="100" t="n"/>
      <c r="F417" s="100" t="n"/>
      <c r="G417" s="100" t="n"/>
    </row>
    <row r="418" ht="15" customHeight="1" s="52">
      <c r="A418" s="102" t="n"/>
      <c r="B418" s="100" t="n"/>
      <c r="C418" s="100" t="n"/>
      <c r="D418" s="100" t="n"/>
      <c r="E418" s="100" t="n"/>
      <c r="F418" s="100" t="n"/>
      <c r="G418" s="100" t="n"/>
    </row>
    <row r="419" ht="15" customHeight="1" s="52">
      <c r="A419" s="102" t="n"/>
      <c r="B419" s="100" t="n"/>
      <c r="C419" s="100" t="n"/>
      <c r="D419" s="100" t="n"/>
      <c r="E419" s="100" t="n"/>
      <c r="F419" s="100" t="n"/>
      <c r="G419" s="100" t="n"/>
    </row>
    <row r="420" ht="15" customHeight="1" s="52">
      <c r="A420" s="102" t="n"/>
      <c r="B420" s="100" t="n"/>
      <c r="C420" s="100" t="n"/>
      <c r="D420" s="100" t="n"/>
      <c r="E420" s="100" t="n"/>
      <c r="F420" s="100" t="n"/>
      <c r="G420" s="100" t="n"/>
    </row>
    <row r="421" ht="15" customHeight="1" s="52">
      <c r="A421" s="102" t="n"/>
      <c r="B421" s="100" t="n"/>
      <c r="C421" s="100" t="n"/>
      <c r="D421" s="100" t="n"/>
      <c r="E421" s="100" t="n"/>
      <c r="F421" s="100" t="n"/>
      <c r="G421" s="100" t="n"/>
    </row>
    <row r="422" ht="15" customHeight="1" s="52">
      <c r="A422" s="102" t="n"/>
      <c r="B422" s="100" t="n"/>
      <c r="C422" s="100" t="n"/>
      <c r="D422" s="100" t="n"/>
      <c r="E422" s="100" t="n"/>
      <c r="F422" s="100" t="n"/>
      <c r="G422" s="100" t="n"/>
    </row>
    <row r="423" ht="15" customHeight="1" s="52">
      <c r="A423" s="102" t="n"/>
      <c r="B423" s="100" t="n"/>
      <c r="C423" s="100" t="n"/>
      <c r="D423" s="100" t="n"/>
      <c r="E423" s="100" t="n"/>
      <c r="F423" s="100" t="n"/>
      <c r="G423" s="100" t="n"/>
    </row>
    <row r="424" ht="15" customHeight="1" s="52">
      <c r="A424" s="102" t="n"/>
      <c r="B424" s="100" t="n"/>
      <c r="C424" s="100" t="n"/>
      <c r="D424" s="100" t="n"/>
      <c r="E424" s="100" t="n"/>
      <c r="F424" s="100" t="n"/>
      <c r="G424" s="100" t="n"/>
    </row>
    <row r="425" ht="15" customHeight="1" s="52">
      <c r="A425" s="102" t="n"/>
      <c r="B425" s="100" t="n"/>
      <c r="C425" s="100" t="n"/>
      <c r="D425" s="100" t="n"/>
      <c r="E425" s="100" t="n"/>
      <c r="F425" s="100" t="n"/>
      <c r="G425" s="100" t="n"/>
    </row>
    <row r="426" ht="15" customHeight="1" s="52">
      <c r="A426" s="102" t="n"/>
      <c r="B426" s="100" t="n"/>
      <c r="C426" s="100" t="n"/>
      <c r="D426" s="100" t="n"/>
      <c r="E426" s="100" t="n"/>
      <c r="F426" s="100" t="n"/>
      <c r="G426" s="100" t="n"/>
    </row>
    <row r="427" ht="15" customHeight="1" s="52">
      <c r="A427" s="102" t="n"/>
      <c r="B427" s="100" t="n"/>
      <c r="C427" s="100" t="n"/>
      <c r="D427" s="100" t="n"/>
      <c r="E427" s="100" t="n"/>
      <c r="F427" s="100" t="n"/>
      <c r="G427" s="100" t="n"/>
    </row>
    <row r="428" ht="15" customHeight="1" s="52">
      <c r="A428" s="102" t="n"/>
      <c r="B428" s="100" t="n"/>
      <c r="C428" s="100" t="n"/>
      <c r="D428" s="100" t="n"/>
      <c r="E428" s="100" t="n"/>
      <c r="F428" s="100" t="n"/>
      <c r="G428" s="100" t="n"/>
    </row>
    <row r="429" ht="15" customHeight="1" s="52">
      <c r="A429" s="102" t="n"/>
      <c r="B429" s="100" t="n"/>
      <c r="C429" s="100" t="n"/>
      <c r="D429" s="100" t="n"/>
      <c r="E429" s="100" t="n"/>
      <c r="F429" s="100" t="n"/>
      <c r="G429" s="100" t="n"/>
    </row>
    <row r="430" ht="15" customHeight="1" s="52">
      <c r="A430" s="102" t="n"/>
      <c r="B430" s="100" t="n"/>
      <c r="C430" s="100" t="n"/>
      <c r="D430" s="100" t="n"/>
      <c r="E430" s="100" t="n"/>
      <c r="F430" s="100" t="n"/>
      <c r="G430" s="100" t="n"/>
    </row>
    <row r="431" ht="15" customHeight="1" s="52">
      <c r="A431" s="102" t="n"/>
      <c r="B431" s="100" t="n"/>
      <c r="C431" s="100" t="n"/>
      <c r="D431" s="100" t="n"/>
      <c r="E431" s="100" t="n"/>
      <c r="F431" s="100" t="n"/>
      <c r="G431" s="100" t="n"/>
    </row>
    <row r="432" ht="15" customHeight="1" s="52">
      <c r="A432" s="102" t="n"/>
      <c r="B432" s="100" t="n"/>
      <c r="C432" s="100" t="n"/>
      <c r="D432" s="100" t="n"/>
      <c r="E432" s="100" t="n"/>
      <c r="F432" s="100" t="n"/>
      <c r="G432" s="100" t="n"/>
    </row>
    <row r="433" ht="15" customHeight="1" s="52">
      <c r="A433" s="102" t="n"/>
      <c r="B433" s="100" t="n"/>
      <c r="C433" s="100" t="n"/>
      <c r="D433" s="100" t="n"/>
      <c r="E433" s="100" t="n"/>
      <c r="F433" s="100" t="n"/>
      <c r="G433" s="100" t="n"/>
    </row>
    <row r="434" ht="15" customHeight="1" s="52">
      <c r="A434" s="102" t="n"/>
      <c r="B434" s="100" t="n"/>
      <c r="C434" s="100" t="n"/>
      <c r="D434" s="100" t="n"/>
      <c r="E434" s="100" t="n"/>
      <c r="F434" s="100" t="n"/>
      <c r="G434" s="100" t="n"/>
    </row>
    <row r="435" ht="15" customHeight="1" s="52">
      <c r="A435" s="102" t="n"/>
      <c r="B435" s="100" t="n"/>
      <c r="C435" s="100" t="n"/>
      <c r="D435" s="100" t="n"/>
      <c r="E435" s="100" t="n"/>
      <c r="F435" s="100" t="n"/>
      <c r="G435" s="100" t="n"/>
    </row>
    <row r="436" ht="15" customHeight="1" s="52">
      <c r="A436" s="102" t="n"/>
      <c r="B436" s="100" t="n"/>
      <c r="C436" s="100" t="n"/>
      <c r="D436" s="100" t="n"/>
      <c r="E436" s="100" t="n"/>
      <c r="F436" s="100" t="n"/>
      <c r="G436" s="100" t="n"/>
    </row>
    <row r="437" ht="15" customHeight="1" s="52">
      <c r="A437" s="102" t="n"/>
      <c r="B437" s="100" t="n"/>
      <c r="C437" s="100" t="n"/>
      <c r="D437" s="100" t="n"/>
      <c r="E437" s="100" t="n"/>
      <c r="F437" s="100" t="n"/>
      <c r="G437" s="100" t="n"/>
    </row>
    <row r="438" ht="15" customHeight="1" s="52">
      <c r="A438" s="102" t="n"/>
      <c r="B438" s="100" t="n"/>
      <c r="C438" s="100" t="n"/>
      <c r="D438" s="100" t="n"/>
      <c r="E438" s="100" t="n"/>
      <c r="F438" s="100" t="n"/>
      <c r="G438" s="100" t="n"/>
    </row>
    <row r="439" ht="15" customHeight="1" s="52">
      <c r="A439" s="102" t="n"/>
      <c r="B439" s="100" t="n"/>
      <c r="C439" s="100" t="n"/>
      <c r="D439" s="100" t="n"/>
      <c r="E439" s="100" t="n"/>
      <c r="F439" s="100" t="n"/>
      <c r="G439" s="100" t="n"/>
    </row>
    <row r="440" ht="15" customHeight="1" s="52">
      <c r="A440" s="102" t="n"/>
      <c r="B440" s="100" t="n"/>
      <c r="C440" s="100" t="n"/>
      <c r="D440" s="100" t="n"/>
      <c r="E440" s="100" t="n"/>
      <c r="F440" s="100" t="n"/>
      <c r="G440" s="100" t="n"/>
    </row>
    <row r="441" ht="15" customHeight="1" s="52">
      <c r="A441" s="102" t="n"/>
      <c r="B441" s="100" t="n"/>
      <c r="C441" s="100" t="n"/>
      <c r="D441" s="100" t="n"/>
      <c r="E441" s="100" t="n"/>
      <c r="F441" s="100" t="n"/>
      <c r="G441" s="100" t="n"/>
    </row>
    <row r="442" ht="15" customHeight="1" s="52">
      <c r="A442" s="102" t="n"/>
      <c r="B442" s="100" t="n"/>
      <c r="C442" s="100" t="n"/>
      <c r="D442" s="100" t="n"/>
      <c r="E442" s="100" t="n"/>
      <c r="F442" s="100" t="n"/>
      <c r="G442" s="100" t="n"/>
    </row>
    <row r="443" ht="15" customHeight="1" s="52">
      <c r="A443" s="102" t="n"/>
      <c r="B443" s="100" t="n"/>
      <c r="C443" s="100" t="n"/>
      <c r="D443" s="100" t="n"/>
      <c r="E443" s="100" t="n"/>
      <c r="F443" s="100" t="n"/>
      <c r="G443" s="100" t="n"/>
    </row>
    <row r="444" ht="15" customHeight="1" s="52">
      <c r="A444" s="102" t="n"/>
      <c r="B444" s="100" t="n"/>
      <c r="C444" s="100" t="n"/>
      <c r="D444" s="100" t="n"/>
      <c r="E444" s="100" t="n"/>
      <c r="F444" s="100" t="n"/>
      <c r="G444" s="100" t="n"/>
    </row>
    <row r="445" ht="15" customHeight="1" s="52">
      <c r="A445" s="102" t="n"/>
      <c r="B445" s="100" t="n"/>
      <c r="C445" s="100" t="n"/>
      <c r="D445" s="100" t="n"/>
      <c r="E445" s="100" t="n"/>
      <c r="F445" s="100" t="n"/>
      <c r="G445" s="100" t="n"/>
    </row>
    <row r="446" ht="15" customHeight="1" s="52">
      <c r="A446" s="102" t="n"/>
      <c r="B446" s="100" t="n"/>
      <c r="C446" s="100" t="n"/>
      <c r="D446" s="100" t="n"/>
      <c r="E446" s="100" t="n"/>
      <c r="F446" s="100" t="n"/>
      <c r="G446" s="100" t="n"/>
    </row>
    <row r="447" ht="15" customHeight="1" s="52">
      <c r="A447" s="102" t="n"/>
      <c r="B447" s="100" t="n"/>
      <c r="C447" s="100" t="n"/>
      <c r="D447" s="100" t="n"/>
      <c r="E447" s="100" t="n"/>
      <c r="F447" s="100" t="n"/>
      <c r="G447" s="100" t="n"/>
    </row>
    <row r="448" ht="15" customHeight="1" s="52">
      <c r="A448" s="102" t="n"/>
      <c r="B448" s="100" t="n"/>
      <c r="C448" s="100" t="n"/>
      <c r="D448" s="100" t="n"/>
      <c r="E448" s="100" t="n"/>
      <c r="F448" s="100" t="n"/>
      <c r="G448" s="100" t="n"/>
    </row>
    <row r="449" ht="15" customHeight="1" s="52">
      <c r="A449" s="102" t="n"/>
      <c r="B449" s="100" t="n"/>
      <c r="C449" s="100" t="n"/>
      <c r="D449" s="100" t="n"/>
      <c r="E449" s="100" t="n"/>
      <c r="F449" s="100" t="n"/>
      <c r="G449" s="100" t="n"/>
    </row>
    <row r="450" ht="15" customHeight="1" s="52">
      <c r="A450" s="102" t="n"/>
      <c r="B450" s="100" t="n"/>
      <c r="C450" s="100" t="n"/>
      <c r="D450" s="100" t="n"/>
      <c r="E450" s="100" t="n"/>
      <c r="F450" s="100" t="n"/>
      <c r="G450" s="100" t="n"/>
    </row>
    <row r="451" ht="15" customHeight="1" s="52">
      <c r="A451" s="102" t="n"/>
      <c r="B451" s="100" t="n"/>
      <c r="C451" s="100" t="n"/>
      <c r="D451" s="100" t="n"/>
      <c r="E451" s="100" t="n"/>
      <c r="F451" s="100" t="n"/>
      <c r="G451" s="100" t="n"/>
    </row>
    <row r="452" ht="15" customHeight="1" s="52">
      <c r="A452" s="102" t="n"/>
      <c r="B452" s="100" t="n"/>
      <c r="C452" s="100" t="n"/>
      <c r="D452" s="100" t="n"/>
      <c r="E452" s="100" t="n"/>
      <c r="F452" s="100" t="n"/>
      <c r="G452" s="100" t="n"/>
    </row>
    <row r="453" ht="15" customHeight="1" s="52">
      <c r="A453" s="102" t="n"/>
      <c r="B453" s="100" t="n"/>
      <c r="C453" s="100" t="n"/>
      <c r="D453" s="100" t="n"/>
      <c r="E453" s="100" t="n"/>
      <c r="F453" s="100" t="n"/>
      <c r="G453" s="100" t="n"/>
    </row>
    <row r="454" ht="15" customHeight="1" s="52">
      <c r="A454" s="102" t="n"/>
      <c r="B454" s="100" t="n"/>
      <c r="C454" s="100" t="n"/>
      <c r="D454" s="100" t="n"/>
      <c r="E454" s="100" t="n"/>
      <c r="F454" s="100" t="n"/>
      <c r="G454" s="100" t="n"/>
    </row>
    <row r="455" ht="15" customHeight="1" s="52">
      <c r="A455" s="102" t="n"/>
      <c r="B455" s="100" t="n"/>
      <c r="C455" s="100" t="n"/>
      <c r="D455" s="100" t="n"/>
      <c r="E455" s="100" t="n"/>
      <c r="F455" s="100" t="n"/>
      <c r="G455" s="100" t="n"/>
    </row>
    <row r="456" ht="15" customHeight="1" s="52">
      <c r="A456" s="102" t="n"/>
      <c r="B456" s="100" t="n"/>
      <c r="C456" s="100" t="n"/>
      <c r="D456" s="100" t="n"/>
      <c r="E456" s="100" t="n"/>
      <c r="F456" s="100" t="n"/>
      <c r="G456" s="100" t="n"/>
    </row>
    <row r="457" ht="15" customHeight="1" s="52">
      <c r="A457" s="102" t="n"/>
      <c r="B457" s="100" t="n"/>
      <c r="C457" s="100" t="n"/>
      <c r="D457" s="100" t="n"/>
      <c r="E457" s="100" t="n"/>
      <c r="F457" s="100" t="n"/>
      <c r="G457" s="100" t="n"/>
    </row>
    <row r="458" ht="15" customHeight="1" s="52">
      <c r="A458" s="102" t="n"/>
      <c r="B458" s="100" t="n"/>
      <c r="C458" s="100" t="n"/>
      <c r="D458" s="100" t="n"/>
      <c r="E458" s="100" t="n"/>
      <c r="F458" s="100" t="n"/>
      <c r="G458" s="100" t="n"/>
    </row>
    <row r="459" ht="15" customHeight="1" s="52">
      <c r="A459" s="102" t="n"/>
      <c r="B459" s="100" t="n"/>
      <c r="C459" s="100" t="n"/>
      <c r="D459" s="100" t="n"/>
      <c r="E459" s="100" t="n"/>
      <c r="F459" s="100" t="n"/>
      <c r="G459" s="100" t="n"/>
    </row>
    <row r="460" ht="15" customHeight="1" s="52">
      <c r="A460" s="102" t="n"/>
      <c r="B460" s="100" t="n"/>
      <c r="C460" s="100" t="n"/>
      <c r="D460" s="100" t="n"/>
      <c r="E460" s="100" t="n"/>
      <c r="F460" s="100" t="n"/>
      <c r="G460" s="100" t="n"/>
    </row>
    <row r="461" ht="15" customHeight="1" s="52">
      <c r="A461" s="102" t="n"/>
      <c r="B461" s="100" t="n"/>
      <c r="C461" s="100" t="n"/>
      <c r="D461" s="100" t="n"/>
      <c r="E461" s="100" t="n"/>
      <c r="F461" s="100" t="n"/>
      <c r="G461" s="100" t="n"/>
    </row>
    <row r="462" ht="15" customHeight="1" s="52">
      <c r="A462" s="102" t="n"/>
      <c r="B462" s="100" t="n"/>
      <c r="C462" s="100" t="n"/>
      <c r="D462" s="100" t="n"/>
      <c r="E462" s="100" t="n"/>
      <c r="F462" s="100" t="n"/>
      <c r="G462" s="100" t="n"/>
    </row>
    <row r="463" ht="15" customHeight="1" s="52">
      <c r="A463" s="102" t="n"/>
      <c r="B463" s="100" t="n"/>
      <c r="C463" s="100" t="n"/>
      <c r="D463" s="100" t="n"/>
      <c r="E463" s="100" t="n"/>
      <c r="F463" s="100" t="n"/>
      <c r="G463" s="100" t="n"/>
    </row>
    <row r="464" ht="15" customHeight="1" s="52">
      <c r="A464" s="102" t="n"/>
      <c r="B464" s="100" t="n"/>
      <c r="C464" s="100" t="n"/>
      <c r="D464" s="100" t="n"/>
      <c r="E464" s="100" t="n"/>
      <c r="F464" s="100" t="n"/>
      <c r="G464" s="100" t="n"/>
    </row>
    <row r="465" ht="15" customHeight="1" s="52">
      <c r="A465" s="102" t="n"/>
      <c r="B465" s="100" t="n"/>
      <c r="C465" s="100" t="n"/>
      <c r="D465" s="100" t="n"/>
      <c r="E465" s="100" t="n"/>
      <c r="F465" s="100" t="n"/>
      <c r="G465" s="100" t="n"/>
    </row>
    <row r="466" ht="15" customHeight="1" s="52">
      <c r="A466" s="102" t="n"/>
      <c r="B466" s="100" t="n"/>
      <c r="C466" s="100" t="n"/>
      <c r="D466" s="100" t="n"/>
      <c r="E466" s="100" t="n"/>
      <c r="F466" s="100" t="n"/>
      <c r="G466" s="100" t="n"/>
    </row>
    <row r="467" ht="15" customHeight="1" s="52">
      <c r="A467" s="102" t="n"/>
      <c r="B467" s="100" t="n"/>
      <c r="C467" s="100" t="n"/>
      <c r="D467" s="100" t="n"/>
      <c r="E467" s="100" t="n"/>
      <c r="F467" s="100" t="n"/>
      <c r="G467" s="100" t="n"/>
    </row>
    <row r="468" ht="15" customHeight="1" s="52">
      <c r="A468" s="102" t="n"/>
      <c r="B468" s="100" t="n"/>
      <c r="C468" s="100" t="n"/>
      <c r="D468" s="100" t="n"/>
      <c r="E468" s="100" t="n"/>
      <c r="F468" s="100" t="n"/>
      <c r="G468" s="100" t="n"/>
    </row>
    <row r="469" ht="15" customHeight="1" s="52">
      <c r="A469" s="102" t="n"/>
      <c r="B469" s="100" t="n"/>
      <c r="C469" s="100" t="n"/>
      <c r="D469" s="100" t="n"/>
      <c r="E469" s="100" t="n"/>
      <c r="F469" s="100" t="n"/>
      <c r="G469" s="100" t="n"/>
    </row>
    <row r="470" ht="15" customHeight="1" s="52">
      <c r="A470" s="102" t="n"/>
      <c r="B470" s="100" t="n"/>
      <c r="C470" s="100" t="n"/>
      <c r="D470" s="100" t="n"/>
      <c r="E470" s="100" t="n"/>
      <c r="F470" s="100" t="n"/>
      <c r="G470" s="100" t="n"/>
    </row>
    <row r="471" ht="15" customHeight="1" s="52">
      <c r="A471" s="102" t="n"/>
      <c r="B471" s="100" t="n"/>
      <c r="C471" s="100" t="n"/>
      <c r="D471" s="100" t="n"/>
      <c r="E471" s="100" t="n"/>
      <c r="F471" s="100" t="n"/>
      <c r="G471" s="100" t="n"/>
    </row>
    <row r="472" ht="15" customHeight="1" s="52">
      <c r="A472" s="102" t="n"/>
      <c r="B472" s="100" t="n"/>
      <c r="C472" s="100" t="n"/>
      <c r="D472" s="100" t="n"/>
      <c r="E472" s="100" t="n"/>
      <c r="F472" s="100" t="n"/>
      <c r="G472" s="100" t="n"/>
    </row>
    <row r="473" ht="15" customHeight="1" s="52">
      <c r="A473" s="102" t="n"/>
      <c r="B473" s="100" t="n"/>
      <c r="C473" s="100" t="n"/>
      <c r="D473" s="100" t="n"/>
      <c r="E473" s="100" t="n"/>
      <c r="F473" s="100" t="n"/>
      <c r="G473" s="100" t="n"/>
    </row>
    <row r="474" ht="15" customHeight="1" s="52">
      <c r="A474" s="102" t="n"/>
      <c r="B474" s="100" t="n"/>
      <c r="C474" s="100" t="n"/>
      <c r="D474" s="100" t="n"/>
      <c r="E474" s="100" t="n"/>
      <c r="F474" s="100" t="n"/>
      <c r="G474" s="100" t="n"/>
    </row>
    <row r="475" ht="15" customHeight="1" s="52">
      <c r="A475" s="102" t="n"/>
      <c r="B475" s="100" t="n"/>
      <c r="C475" s="100" t="n"/>
      <c r="D475" s="100" t="n"/>
      <c r="E475" s="100" t="n"/>
      <c r="F475" s="100" t="n"/>
      <c r="G475" s="100" t="n"/>
    </row>
    <row r="476" ht="15" customHeight="1" s="52">
      <c r="A476" s="102" t="n"/>
      <c r="B476" s="100" t="n"/>
      <c r="C476" s="100" t="n"/>
      <c r="D476" s="100" t="n"/>
      <c r="E476" s="100" t="n"/>
      <c r="F476" s="100" t="n"/>
      <c r="G476" s="100" t="n"/>
    </row>
    <row r="477" ht="15" customHeight="1" s="52">
      <c r="A477" s="102" t="n"/>
      <c r="B477" s="100" t="n"/>
      <c r="C477" s="100" t="n"/>
      <c r="D477" s="100" t="n"/>
      <c r="E477" s="100" t="n"/>
      <c r="F477" s="100" t="n"/>
      <c r="G477" s="100" t="n"/>
    </row>
    <row r="478" ht="15" customHeight="1" s="52">
      <c r="A478" s="102" t="n"/>
      <c r="B478" s="100" t="n"/>
      <c r="C478" s="100" t="n"/>
      <c r="D478" s="100" t="n"/>
      <c r="E478" s="100" t="n"/>
      <c r="F478" s="100" t="n"/>
      <c r="G478" s="100" t="n"/>
    </row>
    <row r="479" ht="15" customHeight="1" s="52">
      <c r="A479" s="102" t="n"/>
      <c r="B479" s="100" t="n"/>
      <c r="C479" s="100" t="n"/>
      <c r="D479" s="100" t="n"/>
      <c r="E479" s="100" t="n"/>
      <c r="F479" s="100" t="n"/>
      <c r="G479" s="100" t="n"/>
    </row>
    <row r="480" ht="15" customHeight="1" s="52">
      <c r="A480" s="102" t="n"/>
      <c r="B480" s="100" t="n"/>
      <c r="C480" s="100" t="n"/>
      <c r="D480" s="100" t="n"/>
      <c r="E480" s="100" t="n"/>
      <c r="F480" s="100" t="n"/>
      <c r="G480" s="100" t="n"/>
    </row>
    <row r="481" ht="15" customHeight="1" s="52">
      <c r="A481" s="102" t="n"/>
      <c r="B481" s="100" t="n"/>
      <c r="C481" s="100" t="n"/>
      <c r="D481" s="100" t="n"/>
      <c r="E481" s="100" t="n"/>
      <c r="F481" s="100" t="n"/>
      <c r="G481" s="100" t="n"/>
    </row>
    <row r="482" ht="15" customHeight="1" s="52">
      <c r="A482" s="102" t="n"/>
      <c r="B482" s="100" t="n"/>
      <c r="C482" s="100" t="n"/>
      <c r="D482" s="100" t="n"/>
      <c r="E482" s="100" t="n"/>
      <c r="F482" s="100" t="n"/>
      <c r="G482" s="100" t="n"/>
    </row>
    <row r="483" ht="15" customHeight="1" s="52">
      <c r="A483" s="102" t="n"/>
      <c r="B483" s="100" t="n"/>
      <c r="C483" s="100" t="n"/>
      <c r="D483" s="100" t="n"/>
      <c r="E483" s="100" t="n"/>
      <c r="F483" s="100" t="n"/>
      <c r="G483" s="100" t="n"/>
    </row>
    <row r="484" ht="15" customHeight="1" s="52">
      <c r="A484" s="102" t="n"/>
      <c r="B484" s="100" t="n"/>
      <c r="C484" s="100" t="n"/>
      <c r="D484" s="100" t="n"/>
      <c r="E484" s="100" t="n"/>
      <c r="F484" s="100" t="n"/>
      <c r="G484" s="100" t="n"/>
    </row>
    <row r="485" ht="15" customHeight="1" s="52">
      <c r="A485" s="102" t="n"/>
      <c r="B485" s="100" t="n"/>
      <c r="C485" s="100" t="n"/>
      <c r="D485" s="100" t="n"/>
      <c r="E485" s="100" t="n"/>
      <c r="F485" s="100" t="n"/>
      <c r="G485" s="100" t="n"/>
    </row>
    <row r="486" ht="15" customHeight="1" s="52">
      <c r="A486" s="102" t="n"/>
      <c r="B486" s="100" t="n"/>
      <c r="C486" s="100" t="n"/>
      <c r="D486" s="100" t="n"/>
      <c r="E486" s="100" t="n"/>
      <c r="F486" s="100" t="n"/>
      <c r="G486" s="100" t="n"/>
    </row>
    <row r="487" ht="15" customHeight="1" s="52">
      <c r="A487" s="102" t="n"/>
      <c r="B487" s="100" t="n"/>
      <c r="C487" s="100" t="n"/>
      <c r="D487" s="100" t="n"/>
      <c r="E487" s="100" t="n"/>
      <c r="F487" s="100" t="n"/>
      <c r="G487" s="100" t="n"/>
    </row>
    <row r="488" ht="15" customHeight="1" s="52">
      <c r="A488" s="102" t="n"/>
      <c r="B488" s="100" t="n"/>
      <c r="C488" s="100" t="n"/>
      <c r="D488" s="100" t="n"/>
      <c r="E488" s="100" t="n"/>
      <c r="F488" s="100" t="n"/>
      <c r="G488" s="100" t="n"/>
    </row>
    <row r="489" ht="15" customHeight="1" s="52">
      <c r="A489" s="102" t="n"/>
      <c r="B489" s="100" t="n"/>
      <c r="C489" s="100" t="n"/>
      <c r="D489" s="100" t="n"/>
      <c r="E489" s="100" t="n"/>
      <c r="F489" s="100" t="n"/>
      <c r="G489" s="100" t="n"/>
    </row>
    <row r="490" ht="15" customHeight="1" s="52">
      <c r="A490" s="102" t="n"/>
      <c r="B490" s="100" t="n"/>
      <c r="C490" s="100" t="n"/>
      <c r="D490" s="100" t="n"/>
      <c r="E490" s="100" t="n"/>
      <c r="F490" s="100" t="n"/>
      <c r="G490" s="100" t="n"/>
    </row>
    <row r="491" ht="15" customHeight="1" s="52">
      <c r="A491" s="102" t="n"/>
      <c r="B491" s="100" t="n"/>
      <c r="C491" s="100" t="n"/>
      <c r="D491" s="100" t="n"/>
      <c r="E491" s="100" t="n"/>
      <c r="F491" s="100" t="n"/>
      <c r="G491" s="100" t="n"/>
    </row>
    <row r="492" ht="15" customHeight="1" s="52">
      <c r="A492" s="102" t="n"/>
      <c r="B492" s="100" t="n"/>
      <c r="C492" s="100" t="n"/>
      <c r="D492" s="100" t="n"/>
      <c r="E492" s="100" t="n"/>
      <c r="F492" s="100" t="n"/>
      <c r="G492" s="100" t="n"/>
    </row>
    <row r="493" ht="15" customHeight="1" s="52">
      <c r="A493" s="102" t="n"/>
      <c r="B493" s="100" t="n"/>
      <c r="C493" s="100" t="n"/>
      <c r="D493" s="100" t="n"/>
      <c r="E493" s="100" t="n"/>
      <c r="F493" s="100" t="n"/>
      <c r="G493" s="100" t="n"/>
    </row>
    <row r="494" ht="15" customHeight="1" s="52">
      <c r="A494" s="102" t="n"/>
      <c r="B494" s="100" t="n"/>
      <c r="C494" s="100" t="n"/>
      <c r="D494" s="100" t="n"/>
      <c r="E494" s="100" t="n"/>
      <c r="F494" s="100" t="n"/>
      <c r="G494" s="100" t="n"/>
    </row>
    <row r="495" ht="15" customHeight="1" s="52">
      <c r="A495" s="102" t="n"/>
      <c r="B495" s="100" t="n"/>
      <c r="C495" s="100" t="n"/>
      <c r="D495" s="100" t="n"/>
      <c r="E495" s="100" t="n"/>
      <c r="F495" s="100" t="n"/>
      <c r="G495" s="100" t="n"/>
    </row>
    <row r="496" ht="15" customHeight="1" s="52">
      <c r="A496" s="102" t="n"/>
      <c r="B496" s="100" t="n"/>
      <c r="C496" s="100" t="n"/>
      <c r="D496" s="100" t="n"/>
      <c r="E496" s="100" t="n"/>
      <c r="F496" s="100" t="n"/>
      <c r="G496" s="100" t="n"/>
    </row>
    <row r="497" ht="15" customHeight="1" s="52">
      <c r="A497" s="102" t="n"/>
      <c r="B497" s="100" t="n"/>
      <c r="C497" s="100" t="n"/>
      <c r="D497" s="100" t="n"/>
      <c r="E497" s="100" t="n"/>
      <c r="F497" s="100" t="n"/>
      <c r="G497" s="100" t="n"/>
    </row>
    <row r="498" ht="15" customHeight="1" s="52">
      <c r="A498" s="102" t="n"/>
      <c r="B498" s="100" t="n"/>
      <c r="C498" s="100" t="n"/>
      <c r="D498" s="100" t="n"/>
      <c r="E498" s="100" t="n"/>
      <c r="F498" s="100" t="n"/>
      <c r="G498" s="100" t="n"/>
    </row>
    <row r="499" ht="15" customHeight="1" s="52">
      <c r="A499" s="102" t="n"/>
      <c r="B499" s="100" t="n"/>
      <c r="C499" s="100" t="n"/>
      <c r="D499" s="100" t="n"/>
      <c r="E499" s="100" t="n"/>
      <c r="F499" s="100" t="n"/>
      <c r="G499" s="100" t="n"/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J8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36" customWidth="1" style="51" min="2" max="2"/>
    <col width="22" customWidth="1" style="51" min="3" max="3"/>
    <col width="12" customWidth="1" style="51" min="4" max="4"/>
    <col width="16" customWidth="1" style="51" min="5" max="6"/>
    <col width="14" customWidth="1" style="51" min="7" max="8"/>
    <col width="18" customWidth="1" style="51" min="9" max="9"/>
    <col width="32" customWidth="1" style="51" min="10" max="10"/>
  </cols>
  <sheetData>
    <row r="1" ht="27.75" customHeight="1" s="52">
      <c r="A1" s="53" t="inlineStr">
        <is>
          <t xml:space="preserve">  PIPELINE  —  Active Opportunities</t>
        </is>
      </c>
    </row>
    <row r="2" ht="21.75" customHeight="1" s="52">
      <c r="A2" s="54" t="inlineStr">
        <is>
          <t xml:space="preserve">  Stage values: Identified | Qualified | Capture | Submitted | Awarded | Lost | No-Bid. Target: 20 active opps at steady state.</t>
        </is>
      </c>
    </row>
    <row r="3"/>
    <row r="4" ht="30" customHeight="1" s="52">
      <c r="A4" s="64" t="inlineStr">
        <is>
          <t>Opp ID</t>
        </is>
      </c>
      <c r="B4" s="64" t="inlineStr">
        <is>
          <t>Opportunity Name</t>
        </is>
      </c>
      <c r="C4" s="64" t="inlineStr">
        <is>
          <t>Agency / Client</t>
        </is>
      </c>
      <c r="D4" s="64" t="inlineStr">
        <is>
          <t>NAICS</t>
        </is>
      </c>
      <c r="E4" s="64" t="inlineStr">
        <is>
          <t>Stage</t>
        </is>
      </c>
      <c r="F4" s="64" t="inlineStr">
        <is>
          <t>Est. Value ($)</t>
        </is>
      </c>
      <c r="G4" s="64" t="inlineStr">
        <is>
          <t>Date Identified</t>
        </is>
      </c>
      <c r="H4" s="64" t="inlineStr">
        <is>
          <t>Stage Date</t>
        </is>
      </c>
      <c r="I4" s="64" t="inlineStr">
        <is>
          <t>Capture Owner</t>
        </is>
      </c>
      <c r="J4" s="64" t="inlineStr">
        <is>
          <t>Notes</t>
        </is>
      </c>
    </row>
    <row r="5" ht="15" customHeight="1" s="52">
      <c r="A5" s="100" t="inlineStr">
        <is>
          <t>OPP-001</t>
        </is>
      </c>
      <c r="B5" s="100" t="inlineStr">
        <is>
          <t>Montana AI Products &amp; Services (SPB-RFP-2026-0608GW) — Tracks 1 &amp; 2</t>
        </is>
      </c>
      <c r="C5" s="100" t="inlineStr">
        <is>
          <t>Montana State Procurement</t>
        </is>
      </c>
      <c r="D5" s="100" t="inlineStr">
        <is>
          <t>541511</t>
        </is>
      </c>
      <c r="E5" s="100" t="inlineStr">
        <is>
          <t>Awarded</t>
        </is>
      </c>
      <c r="F5" s="101" t="n">
        <v>2000000</v>
      </c>
      <c r="G5" s="102" t="n">
        <v>46157</v>
      </c>
      <c r="H5" s="102" t="n">
        <v>46202</v>
      </c>
      <c r="I5" s="100" t="inlineStr">
        <is>
          <t>Khaalis Wooden</t>
        </is>
      </c>
      <c r="J5" s="100" t="inlineStr">
        <is>
          <t>AWARDED — apparent successful offeror on BOTH Track 1 and Track 2. NOIA received 6/29/26 (MT DOA, State Procurement; Grace Waring, Contracts Officer). NOIA only — not yet a contract; no work until the DocuSign contract is executed by all parties. WC, GL ($2M/$2M) and Cyber/Info Security ($6M) COIs secured. eMACS awarded-vendor registration + insurance docs due within 10 business days.</t>
        </is>
      </c>
    </row>
    <row r="6" ht="15" customHeight="1" s="52">
      <c r="A6" s="100" t="inlineStr">
        <is>
          <t>OPP-019</t>
        </is>
      </c>
      <c r="B6" s="100" t="inlineStr">
        <is>
          <t>USDA Community Connect</t>
        </is>
      </c>
      <c r="C6" s="100" t="inlineStr">
        <is>
          <t>USDA Rural Utilities Service</t>
        </is>
      </c>
      <c r="D6" s="100" t="inlineStr">
        <is>
          <t>517311</t>
        </is>
      </c>
      <c r="E6" s="100" t="inlineStr">
        <is>
          <t>No-Bid</t>
        </is>
      </c>
      <c r="F6" s="101" t="n"/>
      <c r="G6" s="102" t="n">
        <v>46181</v>
      </c>
      <c r="H6" s="102" t="n">
        <v>46181</v>
      </c>
      <c r="I6" s="100" t="inlineStr">
        <is>
          <t>Khaalis Wooden</t>
        </is>
      </c>
      <c r="J6" s="100" t="inlineStr">
        <is>
          <t>NO-BID. Capability mismatch — broadband infrastructure, not healthcare IT. Formal DOCX pending.</t>
        </is>
      </c>
    </row>
    <row r="7" ht="15" customHeight="1" s="52">
      <c r="A7" s="100" t="inlineStr">
        <is>
          <t>OPP-020</t>
        </is>
      </c>
      <c r="B7" s="100" t="inlineStr">
        <is>
          <t>HRSA Rural Residency Planning &amp; Development</t>
        </is>
      </c>
      <c r="C7" s="100" t="inlineStr">
        <is>
          <t>HRSA</t>
        </is>
      </c>
      <c r="D7" s="100" t="inlineStr">
        <is>
          <t>541512</t>
        </is>
      </c>
      <c r="E7" s="100" t="inlineStr">
        <is>
          <t>No-Bid</t>
        </is>
      </c>
      <c r="F7" s="101" t="n"/>
      <c r="G7" s="102" t="n">
        <v>46181</v>
      </c>
      <c r="H7" s="102" t="n">
        <v>46181</v>
      </c>
      <c r="I7" s="100" t="inlineStr">
        <is>
          <t>Khaalis Wooden</t>
        </is>
      </c>
      <c r="J7" s="100" t="inlineStr">
        <is>
          <t>NO-BID. Mission mismatch — funds residency programs, not IT vendors. Formal DOCX pending. Track FY26 awardees for downstream EHR/telehealth sub plays.</t>
        </is>
      </c>
    </row>
    <row r="8" ht="15" customHeight="1" s="52">
      <c r="A8" s="100" t="inlineStr">
        <is>
          <t>OPP-021</t>
        </is>
      </c>
      <c r="B8" s="100" t="inlineStr">
        <is>
          <t>VA NEDIIS (36C10B26Q0078)</t>
        </is>
      </c>
      <c r="C8" s="100" t="inlineStr">
        <is>
          <t>VA OIT</t>
        </is>
      </c>
      <c r="D8" s="100" t="inlineStr">
        <is>
          <t>541512</t>
        </is>
      </c>
      <c r="E8" s="100" t="inlineStr">
        <is>
          <t>No-Bid</t>
        </is>
      </c>
      <c r="F8" s="101" t="n"/>
      <c r="G8" s="102" t="n">
        <v>46175</v>
      </c>
      <c r="H8" s="102" t="n">
        <v>46175</v>
      </c>
      <c r="I8" s="100" t="inlineStr">
        <is>
          <t>Khaalis Wooden</t>
        </is>
      </c>
      <c r="J8" s="100" t="inlineStr">
        <is>
          <t>NO-BID filed 6/2. Window closed + T4NG vehicle closed + 150-FTE PP floor. Watch GSA Alliant 3 SDVOSB pool finalization.</t>
        </is>
      </c>
    </row>
    <row r="9" ht="15" customHeight="1" s="52">
      <c r="A9" s="100" t="inlineStr">
        <is>
          <t>OPP-022</t>
        </is>
      </c>
      <c r="B9" s="100" t="inlineStr">
        <is>
          <t>SENTRY (CB26-RFQ0012) — CBO IT Support BPA, SMA 2 Cloud Service Support (J4 + J5)</t>
        </is>
      </c>
      <c r="C9" s="100" t="inlineStr">
        <is>
          <t>Congressional Budget Office (CBO)</t>
        </is>
      </c>
      <c r="D9" s="100" t="inlineStr">
        <is>
          <t>541512</t>
        </is>
      </c>
      <c r="E9" s="100" t="inlineStr">
        <is>
          <t>No-Bid</t>
        </is>
      </c>
      <c r="F9" s="99" t="n">
        <v>4000000</v>
      </c>
      <c r="G9" s="102" t="n">
        <v>46200</v>
      </c>
      <c r="H9" s="102" t="n">
        <v>46239</v>
      </c>
      <c r="I9" s="100" t="inlineStr">
        <is>
          <t>Khaalis Wooden</t>
        </is>
      </c>
      <c r="J9" s="100" t="inlineStr">
        <is>
          <t>NO-BID 8/5/26 — joint TES × VBX decision at monthly sync, 5 days before the 8/10 1300 ET deadline; TES will not prime, VBX will not sub. Gate 1 passed; fails Gate 2 on economics: Model C score 5.35/10 (Moderate, 25% Pwin), inside the 5.0–5.5 window that permits a bid only with named gap closures secured — none were (officer-signed TA w/ workshare floor + SMA 2 exclusivity; a PP reference slot; VBX named in Factor 3). Structural finding: ceiling &gt;$1M–&lt;$10M across 6 SMAs, 1–3 awards; VBX addressable slice ≈ $458K/5yr → net EV ~$16.4K/5yr (~$3.3K/yr) vs $5M ARR target. All four scoring gaps (F4/F5/F6/F7) structural — no partner closes them. Work product retained: SMA 2 Vol I v2.0 (29pp, requirement traceability), Vol II v2.0 (11pp, federal-analog PP framing), Amendment 0004 / 995-item Q&amp;A analysis. Lessons → Gate 1: add vehicle-economics screen (ceiling ÷ lots ÷ awards ÷ PoP ≥ $500K/yr) + subcontractor citability test; execute teaming instrument BEFORE transmitting volumes. TES relationship intact — redirect to smaller set-aside RFQs/RFPs by 8/31.</t>
        </is>
      </c>
    </row>
    <row r="10" ht="15" customHeight="1" s="52">
      <c r="A10" s="100" t="inlineStr">
        <is>
          <t>OPP-023</t>
        </is>
      </c>
      <c r="B10" s="100" t="inlineStr">
        <is>
          <t>IHS WebEHRS 2027-2032 (SS75H70126R00050) — RFI Response</t>
        </is>
      </c>
      <c r="C10" s="100" t="inlineStr">
        <is>
          <t>Indian Health Service (IHS) / HHS</t>
        </is>
      </c>
      <c r="D10" s="100" t="inlineStr">
        <is>
          <t>541511</t>
        </is>
      </c>
      <c r="E10" s="100" t="inlineStr">
        <is>
          <t>Submitted</t>
        </is>
      </c>
      <c r="F10" s="99" t="n"/>
      <c r="G10" s="102" t="n">
        <v>46210</v>
      </c>
      <c r="H10" s="102" t="n">
        <v>46210</v>
      </c>
      <c r="I10" s="100" t="inlineStr">
        <is>
          <t>Khaalis Wooden</t>
        </is>
      </c>
      <c r="J10" s="100" t="inlineStr">
        <is>
          <t>Sources Sought / RFI SS75H70126R00050 — IHS Web-based Environmental Health Reporting System (WebEHRS) 2027-2032. VBX responds as subcontractor / integration teammate (not a COTS product vendor). Intent to prime = No; intent to sub = Yes. Socio-econ: Minority-Owned SB, TAA + Section 889 compliant; not an IEE — J02 Buy Indian rep form N/A. Services scope: custom RRM engine + historical reporting, IHS Standard Code Book integration, FDA 2022 Food Code Annex 7 Form 3a e-inspection forms (web+offline), legacy migration + UAT, ATO/FedRAMP/SSO/MFA/PIV/RBAC/audit, standards-based APIs/exports, help-desk/O&amp;M. No solution ROM (services-only ROM on request once platform baseline/teaming defined). CO POC: Daniel Cotto, IHS (daniel.cotto@ihs.gov). Response transmitted before deadline.</t>
        </is>
      </c>
    </row>
    <row r="11" ht="15" customHeight="1" s="52">
      <c r="A11" s="100" t="inlineStr">
        <is>
          <t>OPP-024</t>
        </is>
      </c>
      <c r="B11" s="100" t="inlineStr">
        <is>
          <t>WA HCA FSIPAP (RFI 2026HCA13) — Federal &amp; State Interoperability and Prior Authorization Project</t>
        </is>
      </c>
      <c r="C11" s="100" t="inlineStr">
        <is>
          <t>Washington State Health Care Authority</t>
        </is>
      </c>
      <c r="D11" s="100" t="inlineStr">
        <is>
          <t>541511 / 541512</t>
        </is>
      </c>
      <c r="E11" s="100" t="inlineStr">
        <is>
          <t>Capture</t>
        </is>
      </c>
      <c r="F11" s="99" t="n"/>
      <c r="G11" s="102" t="n">
        <v>46222</v>
      </c>
      <c r="H11" s="102" t="n">
        <v>46247</v>
      </c>
      <c r="I11" s="100" t="inlineStr">
        <is>
          <t>Khaalis Wooden</t>
        </is>
      </c>
      <c r="J11" s="100" t="inlineStr">
        <is>
          <t>WA HCA FSIPAP RFI 2026HCA13 — Federal &amp; State Interoperability and Prior Authorization Project. Updated 2026-08-19 (Rev.6). CUSTOMER: WA Health Care Authority (HCA) · SLED (State) · Medicaid/CHIP FFS · driver CMS-0057-F. DISPOSITION: Active — RESPOND (bid). POSTURE B — PA-workflow-complete (CRD + DTR-approach + PAS + policy transformation; LEAD with policy transformation). SCORE 5.83/10 CREDIBLE (Gate 1 PASS; solo); Pwin 38%. Score movement: 4.6 baseline → 5.26 (Am.1) → 5.38 (capability) → 5.83 (Am.3). Next re-score trigger: RFP release. B&amp;P $12K–$15K. VEHICLE: none required to prime (Am.3 #45); NASPO Cloud Solutions DES #05116 available if teaming; multi-tier subs allowed w/ HCA approval (#77). KEY FACTS: program FUNDED (state funds + CMS APD/FFP); Acentra integration at no cost (#44); Acentra builds FHIR adjudication endpoints (#59A); FHIR-native, no X12 278 (#22); policy volume ~760, largest guide 338pp/153 PA policies (#40); vendor-hosted cloud-native expected (#20/#58); competitive RFP intended (#37); SOC 2 not hard-mandated (#42) but cyber may reach $10M for high-risk data vs $6M held (#76); possible minimum-revenue rule (#73). DATES: RFI response due 2026-08-26 17:00 PT; full compliance 01/01/2028; vendor onboard ~Q1 2027; RFP expected Q4 2026 / Q1 2027. TEAM: Akil Chellam (Principal Architect), Saravanan Swaminathan (Sr Solution Architect / policy transformation), Antony Jayaraj (Data Eng), Tony Paul (CISO), Khaalis Wooden (capture). GUARDRAILS: do NOT cite GSA MAS SIN (suppressed pending Refresh 31) — descriptive capability language only (RFI Sec. 4.6 IP-assignment breadth); internal framework names not referenced externally. No published ceiling — RFI intelligence play, excluded from win-rate scenario math. Incumbent risk: Acentra (ProviderOne + FHIR). Contact: Jack Kent. ACTIVITY LOG: 2026-08-01 Registration confirmed — VBX on RFI distribution list; 2026-08-03 Round 2 questions submitted, receipt confirmed; 2026-08-11 Da Vinci PP verified (CRD+PAS, no DTR), scope set Posture B; 2026-08-11 Amendment 2 — schedule +1 week (answers 08/19; due 08/26); 2026-08-19 Amendment 3 (Q&amp;A Round 2) — all 10 VBX questions answered, re-score to 5.83 CREDIBLE; 2026-08-19 Full §4.4 response draft delivered; 2026-08-19 Attachment A architecture/data-flow diagrams delivered. OPEN NEXT STEPS 14–19 tracked on the Actions tab (items #5–10). ARTIFACTS: WinProb_2026HCA13_SOLO_20260819_r6.docx (win-prob analysis — source of truth); RFI 2026HCA13_Visionblox LLC_FULL-DRAFT_20260819.docx (response draft); Attachment_A_RFI2026HCA13_Visionblox_Architecture.pdf (architecture diagrams).</t>
        </is>
      </c>
    </row>
    <row r="12" ht="15" customHeight="1" s="52">
      <c r="A12" s="100" t="inlineStr">
        <is>
          <t>OPP-025</t>
        </is>
      </c>
      <c r="B12" s="100" t="inlineStr">
        <is>
          <t>WA DRS E-File Tax Reporting (RFP 26-03)</t>
        </is>
      </c>
      <c r="C12" s="100" t="inlineStr">
        <is>
          <t>Washington State Dept. of Retirement Systems</t>
        </is>
      </c>
      <c r="D12" s="100" t="inlineStr">
        <is>
          <t>541519</t>
        </is>
      </c>
      <c r="E12" s="100" t="inlineStr">
        <is>
          <t>No-Bid</t>
        </is>
      </c>
      <c r="F12" s="99" t="n"/>
      <c r="G12" s="102" t="n">
        <v>46213</v>
      </c>
      <c r="H12" s="102" t="n">
        <v>46213</v>
      </c>
      <c r="I12" s="100" t="inlineStr">
        <is>
          <t>Khaalis Wooden</t>
        </is>
      </c>
      <c r="J12" s="100" t="inlineStr">
        <is>
          <t>NO-BID — Gate 1 fail (7/10/26). MQ 1.3 restricts offerors to IRS-authorized e-file transmission providers with 5-yr production track record; non-responsive as prime on its face. No meaningful build/ETL scope for a sub (read-only transmitter role). LPTA in substance. Secondary kills: IRS Pub 1075 FTI regime, SOC 2, WA SOS registration, heavy insurance minimums. Redirect BD energy to Montana signature (OPP-001) and CBO SENTRY (OPP-022).</t>
        </is>
      </c>
    </row>
    <row r="13" ht="15" customHeight="1" s="52">
      <c r="A13" s="100" t="inlineStr">
        <is>
          <t>OPP-026</t>
        </is>
      </c>
      <c r="B13" s="100" t="inlineStr">
        <is>
          <t>Army Enterprise IT Support — OTSG/MEDCOM (W9124J-27-R-ENTR)</t>
        </is>
      </c>
      <c r="C13" s="100" t="inlineStr">
        <is>
          <t>US Army MICC - Fort Sam Houston</t>
        </is>
      </c>
      <c r="D13" s="100" t="inlineStr">
        <is>
          <t>541513</t>
        </is>
      </c>
      <c r="E13" s="100" t="inlineStr">
        <is>
          <t>No-Bid</t>
        </is>
      </c>
      <c r="F13" s="99" t="n"/>
      <c r="G13" s="102" t="n">
        <v>46213</v>
      </c>
      <c r="H13" s="102" t="n">
        <v>46213</v>
      </c>
      <c r="I13" s="100" t="inlineStr">
        <is>
          <t>Khaalis Wooden</t>
        </is>
      </c>
      <c r="J13" s="100" t="inlineStr">
        <is>
          <t>NO-BID prime AND sub (7/10/26). Score 2.3/10 Low. Three independent Gate-1 kills: (1) Secret FCL + cleared bench required at submission, subs included; (2) CMMI-SVC Level 3; (3) vendor-type mismatch — pure O&amp;M help-desk under 541513 with contractor AI explicitly excluded (Q&amp;A #62). "Medical" (OTSG/MEDCOM) is a keyword mirage — no health-IT delivery scope. ~$9M/5yr est. Teaming (Grit / Frank Culmone) closes no gap; SSN response window closed 7/16 — declined. Redirect to fit-lane federal health IT (VA OIT, HHS, CMS).</t>
        </is>
      </c>
    </row>
    <row r="14" ht="15" customHeight="1" s="52">
      <c r="A14" s="100" t="inlineStr">
        <is>
          <t>OPP-027</t>
        </is>
      </c>
      <c r="B14" s="100" t="inlineStr">
        <is>
          <t>DoS BASE — Boundaries &amp; Sovereignty Encyclopedia (19AQMM26N0296)</t>
        </is>
      </c>
      <c r="C14" s="100" t="inlineStr">
        <is>
          <t>US Dept. of State INR/GGI</t>
        </is>
      </c>
      <c r="D14" s="100" t="inlineStr">
        <is>
          <t>541360</t>
        </is>
      </c>
      <c r="E14" s="100" t="inlineStr">
        <is>
          <t>No-Bid</t>
        </is>
      </c>
      <c r="F14" s="99" t="n"/>
      <c r="G14" s="102" t="n">
        <v>46210</v>
      </c>
      <c r="H14" s="102" t="n">
        <v>46210</v>
      </c>
      <c r="I14" s="100" t="inlineStr">
        <is>
          <t>Khaalis Wooden</t>
        </is>
      </c>
      <c r="J14" s="100" t="inlineStr">
        <is>
          <t>NO-BID as prime — Gate 1 fail (7/7/26). RFI due 7/22/26, 10-page cap. Domain mismatch: geospatial/GIS depth, boundary-domain past performance, and IC-grade hosting not held; NAICS 541360 outside VBX profile; no federal prime past performance. Conditional narrow-sub lane (portal O&amp;M / OCR-ETL / secure hosting) required a geospatial prime identified by ~7/15 — window passed with none surfaced; collapses to straight no-bid.</t>
        </is>
      </c>
    </row>
    <row r="15" ht="15" customHeight="1" s="52">
      <c r="A15" s="100" t="inlineStr">
        <is>
          <t>OPP-028</t>
        </is>
      </c>
      <c r="B15" s="100" t="inlineStr">
        <is>
          <t>MARFORRES AI Manpower &amp; Readiness (M6786126IMKMAI) — Sources Sought Response</t>
        </is>
      </c>
      <c r="C15" s="100" t="inlineStr">
        <is>
          <t>USMC Forces Reserve (MFR G-1 / MCIRSA)</t>
        </is>
      </c>
      <c r="D15" s="100" t="n"/>
      <c r="E15" s="100" t="inlineStr">
        <is>
          <t>Submitted</t>
        </is>
      </c>
      <c r="F15" s="101" t="n"/>
      <c r="G15" s="102" t="n">
        <v>46224</v>
      </c>
      <c r="H15" s="102" t="n">
        <v>46224</v>
      </c>
      <c r="I15" s="100" t="inlineStr">
        <is>
          <t>Khaalis Wooden</t>
        </is>
      </c>
      <c r="J15" s="100" t="inlineStr">
        <is>
          <t>Sources Sought M6786126IMKMAI — AI-enabled manpower modeling, readiness analytics, personnel allocation (IRR/SMCR). CUI notice; NAICS not stated on notice. Response + cover letter FINALIZED via vbx-solicitation-response gates; TRANSMITTED 7/21/2026 7:00am CT (due 7/30 12:00pm CDT). POCs: Jordyn Edwards (jordyn.edwards@usmc.mil, 504-697-8355) + Parren Tatum (parren.tatum.civ@usmc.mil, 504-697-8308). Set-aside blank — SB shaping questions embedded in transmittal. Stage→Submitted 7/21/2026.</t>
        </is>
      </c>
    </row>
    <row r="16" ht="15" customHeight="1" s="52">
      <c r="A16" s="100" t="inlineStr">
        <is>
          <t>OPP-029</t>
        </is>
      </c>
      <c r="B16" s="100" t="inlineStr">
        <is>
          <t>DHA ARMOR — Integrated Workforce &amp; Readiness Platform (ARMOR001) — RFI Response</t>
        </is>
      </c>
      <c r="C16" s="100" t="inlineStr">
        <is>
          <t>Defense Health Agency (DHMS-CD, Rosslyn VA)</t>
        </is>
      </c>
      <c r="D16" s="100" t="inlineStr">
        <is>
          <t>541512</t>
        </is>
      </c>
      <c r="E16" s="100" t="inlineStr">
        <is>
          <t>Submitted</t>
        </is>
      </c>
      <c r="F16" s="101" t="n"/>
      <c r="G16" s="102" t="n">
        <v>46224</v>
      </c>
      <c r="H16" s="102" t="n">
        <v>46224</v>
      </c>
      <c r="I16" s="100" t="inlineStr">
        <is>
          <t>Khaalis Wooden</t>
        </is>
      </c>
      <c r="J16" s="100" t="inlineStr">
        <is>
          <t>RFI ARMOR001 — Tier 1 fit (healthcare IT, MHS GENESIS/EHR integration, explainable AI). All FIVE use cases addressed (all-or-nothing per §3.1); 10pp cap; §3.5 OCI access GRANTED (BCG/Andrew Morgan/Monterey). Response + cover letter + cover page FINALIZED; TRANSMITTED 7/21/2026 7:00am CT (ahead of 7/22 12:00pm EDT target; 5:00pm hard wall). POCs: Louise Lewis CO (louise.b.lewis.civ@health.mil) + Rachael Bealer CS (rachael.n.bealer.civ@health.mil). RESOLVED 7/21 (Khaalis ruling): GSA SIN line stays 'None currently held' — conservative wording stands (54151HEAL held but under Refresh 31 remediation, 7 deficiencies open; cite-SIN alternative declined). Anticipated RFP = pipeline priority; run scoring engine. Stage→Submitted 7/21/2026.</t>
        </is>
      </c>
    </row>
    <row r="17" ht="15" customHeight="1" s="52">
      <c r="A17" s="100" t="inlineStr">
        <is>
          <t>OPP-030</t>
        </is>
      </c>
      <c r="B17" s="100" t="inlineStr">
        <is>
          <t>USGS NEIC AI/ML &amp; Data Streaming Development (140G0226Q0049) — Sources Sought Response</t>
        </is>
      </c>
      <c r="C17" s="100" t="inlineStr">
        <is>
          <t>USGS / DOI (OAG-Denver)</t>
        </is>
      </c>
      <c r="D17" s="100" t="inlineStr">
        <is>
          <t>541511</t>
        </is>
      </c>
      <c r="E17" s="100" t="inlineStr">
        <is>
          <t>Submitted</t>
        </is>
      </c>
      <c r="F17" s="101" t="n"/>
      <c r="G17" s="102" t="n">
        <v>46224</v>
      </c>
      <c r="H17" s="102" t="n">
        <v>46224</v>
      </c>
      <c r="I17" s="100" t="inlineStr">
        <is>
          <t>Khaalis Wooden</t>
        </is>
      </c>
      <c r="J17" s="100" t="inlineStr">
        <is>
          <t>Sources Sought 140G0226Q0049 — NEIC real-time seismic streaming + detection; five SW dev task areas addressed. Tier 2/adjacent fit; candor positioning (transferable production AI/data engineering; NO seismology claims). Response + cover letter FINALIZED; TRANSMITTED 7/21/2026 7:00am CT (due 7/24 2:30pm EDT worst-cased). POC: Yvette Sornberger (yvette_sornberger@ios.doi.gov, 303-236-9332). Pre-send SAM Attachments/Links check superseded by 7/21 transmittal. Score via capture engine before RFP-stage spend. Stage→Submitted 7/21/2026.</t>
        </is>
      </c>
    </row>
    <row r="18" ht="15" customHeight="1" s="52">
      <c r="A18" s="100" t="inlineStr">
        <is>
          <t>OPP-031</t>
        </is>
      </c>
      <c r="B18" s="100" t="inlineStr">
        <is>
          <t>CMS ICAT RFI (270196) — HHS-RADV Intelligent Coding Assistance Tool</t>
        </is>
      </c>
      <c r="C18" s="100" t="inlineStr">
        <is>
          <t>CMS (HHS)</t>
        </is>
      </c>
      <c r="D18" s="100" t="inlineStr">
        <is>
          <t>541511</t>
        </is>
      </c>
      <c r="E18" s="100" t="inlineStr">
        <is>
          <t>Submitted</t>
        </is>
      </c>
      <c r="F18" s="101" t="n"/>
      <c r="G18" s="102" t="n">
        <v>46245</v>
      </c>
      <c r="H18" s="102" t="n">
        <v>46253</v>
      </c>
      <c r="I18" s="100" t="inlineStr">
        <is>
          <t>Khaalis Wooden</t>
        </is>
      </c>
      <c r="J18" s="100" t="inlineStr">
        <is>
          <t>SUBMITTED 8/19/26 — TEAMED track, one day ahead of the 8/20 10:00 ET deadline. Structure: Aurelus Solutions (prime; CAGE 18WY1, UEI MEA6HMN29JB1; POC Chyanne T. Thomas) / CAGAIL LLC (sub, PRIORITY) / Visionblox (sub). Health GREEN. HARD GATE CLOSED: the 3 COI attestations (Aurelus, CAGAIL, VBX) executed; Q13 team-wide COI assertion backed by evidence; solo 5.60 fallback not needed. Pre-submission clearances all held: prime identified &amp; cleared by KW 8/15 (the 8/13 'Shan' placeholder resolved to Aurelus — NOT Cadence / Shaneiqua Johnson; FILED contingency closed); NDA executed 8/16; response redlined 8/17 (6 tracked VBX edits); VBX rep cleared 8/18 with zero residual false VBX claims (GSA MAS/SIN 54151HEAL struck, 'HITRUST-audited' → 'assessor-on-staff', CMS/FEMA mis-attribution fixed). Teamed score 6.38, Pwin 45–50%; KPMG = structurally conflicted incumbent. Per-question limit 3,000 chars; FSIPAP 8/19 → ICAT 8/20 sequential. NEXT: (1) archive submission receipt/confirmation [Khaalis Wooden, 8/20, portal receipt or acknowledgment filed]; (2) monitor CMS for ICAT RFI disposition / follow-on RFP or market-research outcome [Khaalis Wooden, re-check 9/19, disposition logged or next milestone dated]. Branded pursuit status record ICAT_Pursuit_Status_270196_20260819.docx (+ .pdf) — Capture &amp; Compliance work product, delivered to owner out-of-repo (partner/NDA detail; not committed per Hard Rule #1).</t>
        </is>
      </c>
    </row>
    <row r="19" ht="15" customHeight="1" s="52">
      <c r="A19" s="100" t="inlineStr">
        <is>
          <t>OPP-032</t>
        </is>
      </c>
      <c r="B19" s="100" t="inlineStr">
        <is>
          <t>NIST QNAP (RFQ1816699 / NB676020-26-01781) — quantum sub posture</t>
        </is>
      </c>
      <c r="C19" s="100" t="inlineStr">
        <is>
          <t>NIST</t>
        </is>
      </c>
      <c r="D19" s="100" t="inlineStr">
        <is>
          <t>541511</t>
        </is>
      </c>
      <c r="E19" s="100" t="inlineStr">
        <is>
          <t>Capture</t>
        </is>
      </c>
      <c r="F19" s="101" t="n"/>
      <c r="G19" s="102" t="n">
        <v>46204</v>
      </c>
      <c r="H19" s="102" t="n">
        <v>46247</v>
      </c>
      <c r="I19" s="100" t="inlineStr">
        <is>
          <t>Khaalis Wooden</t>
        </is>
      </c>
      <c r="J19" s="100" t="inlineStr">
        <is>
          <t>Solicitation closed 7/1/26 — capture framing moot. TES Consultants (Alan Sosa) prime; VBX positioned as technical sub with PhD quantum physicist key personnel (UMD JQI/QuICS/NRC postdoc orbit). Conversation = delivery workshare on the pending award only. TES prime relationship redirected here post-SENTRY (intact). Maintain workshare dialogue; no action until award notice.</t>
        </is>
      </c>
    </row>
    <row r="20" ht="15" customHeight="1" s="52">
      <c r="A20" s="100" t="inlineStr">
        <is>
          <t>OPP-033</t>
        </is>
      </c>
      <c r="B20" s="100" t="inlineStr">
        <is>
          <t>WA DES 13225 — CAT Tool Contracts</t>
        </is>
      </c>
      <c r="C20" s="100" t="inlineStr">
        <is>
          <t>Washington State Dept. of Enterprise Services</t>
        </is>
      </c>
      <c r="D20" s="100" t="inlineStr">
        <is>
          <t>541519</t>
        </is>
      </c>
      <c r="E20" s="100" t="inlineStr">
        <is>
          <t>No-Bid</t>
        </is>
      </c>
      <c r="F20" s="101" t="n"/>
      <c r="G20" s="102" t="n">
        <v>46247</v>
      </c>
      <c r="H20" s="102" t="n">
        <v>46247</v>
      </c>
      <c r="I20" s="100" t="inlineStr">
        <is>
          <t>Khaalis Wooden</t>
        </is>
      </c>
      <c r="J20" s="100" t="inlineStr">
        <is>
          <t>NO-BID 8/13/26 — Gate 1 fail, vendor-type mismatch: proprietary SaaS CAT product + mandatory Exhibit D live product demo; ~76% of points on license pricing; VBX is an integrator, not a COTS product vendor. Teaming rejected under subcontractor citability test (primes self-perform, no workshare floor). Reserved lane requires WA SB/VOSB — not held. Zero B&amp;P. Record: VBX_NoBid_Decision_WADES_13225_CAT_20260813 (authoritative — do not regenerate). Akil/AJ notified by email 8/13. Salvage: WA purchaser intel (DSHS 31–36%, DOH 12%, HCA 10%, DCYF) folded into the FSIPAP account map.</t>
        </is>
      </c>
    </row>
    <row r="21" ht="15" customHeight="1" s="52">
      <c r="A21" s="100" t="inlineStr">
        <is>
          <t>OPP-034</t>
        </is>
      </c>
      <c r="B21" s="100" t="inlineStr">
        <is>
          <t>VA Digital GI Bill RFI (36C10D26Q0186)</t>
        </is>
      </c>
      <c r="C21" s="100" t="inlineStr">
        <is>
          <t>Department of Veterans Affairs</t>
        </is>
      </c>
      <c r="D21" s="100" t="inlineStr">
        <is>
          <t>541511</t>
        </is>
      </c>
      <c r="E21" s="100" t="inlineStr">
        <is>
          <t>Qualified</t>
        </is>
      </c>
      <c r="F21" s="101" t="n"/>
      <c r="G21" s="102" t="n">
        <v>46247</v>
      </c>
      <c r="H21" s="102" t="n">
        <v>46247</v>
      </c>
      <c r="I21" s="100" t="inlineStr">
        <is>
          <t>Khaalis Wooden</t>
        </is>
      </c>
      <c r="J21" s="100" t="inlineStr">
        <is>
          <t>PURSUE-CONDITIONAL — RavenOne Enterprises LLC channel. Score 4.70 Moderate; Pwin 25%. Pre-conditions (Model C): RavenOne Gate 0 pass → NDA → teaming instrument with a workshare floor + reference rights before any proposal volume; citability = $0 until the floor is negotiated. Next: RFI skeleton by 8/18 (AJ); tech input to RavenOne by 9/4; RFI due 9/11/26 10:00 ET. DGB deliberately buffered to 9/4 to clear the 8/17–8/20 crunch.</t>
        </is>
      </c>
    </row>
    <row r="22" ht="15" customHeight="1" s="52">
      <c r="A22" s="100" t="inlineStr">
        <is>
          <t>OPP-035</t>
        </is>
      </c>
      <c r="B22" s="100" t="inlineStr">
        <is>
          <t>VA PATS-R (36C10B26Q0662) — Patient Advocate Tracking System-Replacement</t>
        </is>
      </c>
      <c r="C22" s="100" t="inlineStr">
        <is>
          <t>Department of Veterans Affairs</t>
        </is>
      </c>
      <c r="D22" s="100" t="inlineStr">
        <is>
          <t>541512</t>
        </is>
      </c>
      <c r="E22" s="100" t="inlineStr">
        <is>
          <t>Identified</t>
        </is>
      </c>
      <c r="F22" s="101" t="n"/>
      <c r="G22" s="102" t="n">
        <v>46247</v>
      </c>
      <c r="H22" s="102" t="n">
        <v>46247</v>
      </c>
      <c r="I22" s="100" t="inlineStr">
        <is>
          <t>Khaalis Wooden</t>
        </is>
      </c>
      <c r="J22" s="100" t="inlineStr">
        <is>
          <t>WATCH — RavenOne Enterprises LLC channel. Prelim score 4.80 (low confidence). Next: SAM alert by 8/14 (AJ); re-score at strategy release. Same Gate 0 → NDA → teaming pre-conditions as the Digital GI Bill row.</t>
        </is>
      </c>
    </row>
    <row r="23" ht="15" customHeight="1" s="52">
      <c r="A23" s="100" t="inlineStr">
        <is>
          <t>OPP-036</t>
        </is>
      </c>
      <c r="B23" s="100" t="inlineStr">
        <is>
          <t>CDC KMTSS (SSN26-7571-CDC96901) — Knowledge Mgmt Technical Support Services</t>
        </is>
      </c>
      <c r="C23" s="100" t="inlineStr">
        <is>
          <t>CDC (HHS)</t>
        </is>
      </c>
      <c r="D23" s="100" t="inlineStr">
        <is>
          <t>541519</t>
        </is>
      </c>
      <c r="E23" s="100" t="inlineStr">
        <is>
          <t>No-Bid</t>
        </is>
      </c>
      <c r="F23" s="101" t="n"/>
      <c r="G23" s="102" t="n">
        <v>46247</v>
      </c>
      <c r="H23" s="102" t="n">
        <v>46247</v>
      </c>
      <c r="I23" s="100" t="inlineStr">
        <is>
          <t>Khaalis Wooden</t>
        </is>
      </c>
      <c r="J23" s="100" t="inlineStr">
        <is>
          <t>NO-BID / niche-sub-only — RavenOne Enterprises LLC channel. Score 3.75 Low; Pwin 10%. SOO pulled 8/14 (AJ); matrix sent. Closed unless RavenOne fields an ECM (enterprise content management) anchor. No B&amp;P.</t>
        </is>
      </c>
    </row>
    <row r="24" ht="15" customHeight="1" s="52">
      <c r="A24" s="100" t="inlineStr">
        <is>
          <t>OPP-037</t>
        </is>
      </c>
      <c r="B24" s="100" t="inlineStr">
        <is>
          <t>VA BioDose 23.x</t>
        </is>
      </c>
      <c r="C24" s="100" t="inlineStr">
        <is>
          <t>Department of Veterans Affairs</t>
        </is>
      </c>
      <c r="D24" s="100" t="inlineStr">
        <is>
          <t>541512</t>
        </is>
      </c>
      <c r="E24" s="100" t="inlineStr">
        <is>
          <t>No-Bid</t>
        </is>
      </c>
      <c r="F24" s="101" t="n"/>
      <c r="G24" s="102" t="n">
        <v>46247</v>
      </c>
      <c r="H24" s="102" t="n">
        <v>46247</v>
      </c>
      <c r="I24" s="100" t="inlineStr">
        <is>
          <t>Khaalis Wooden</t>
        </is>
      </c>
      <c r="J24" s="100" t="inlineStr">
        <is>
          <t>KILLED at Gate 1 — RavenOne Enterprises LLC channel. Decline sent with Digital GI Bill redirect. This record authoritative — do not regenerate.</t>
        </is>
      </c>
    </row>
    <row r="25" ht="15" customHeight="1" s="52">
      <c r="A25" s="100" t="inlineStr">
        <is>
          <t>OPP-038</t>
        </is>
      </c>
      <c r="B25" s="100" t="inlineStr">
        <is>
          <t>SSA Enterprise Artificial Intelligence (AI) Strategy (28321326RI0000041) - RFI, market research only</t>
        </is>
      </c>
      <c r="C25" s="100" t="inlineStr">
        <is>
          <t>Social Security Administration (Office of the CIO)</t>
        </is>
      </c>
      <c r="D25" s="100" t="inlineStr">
        <is>
          <t>541519</t>
        </is>
      </c>
      <c r="E25" s="100" t="inlineStr">
        <is>
          <t>Submitted</t>
        </is>
      </c>
      <c r="F25" s="101" t="n"/>
      <c r="G25" s="102" t="n">
        <v>46253</v>
      </c>
      <c r="H25" s="102" t="n">
        <v>46253</v>
      </c>
      <c r="I25" s="100" t="inlineStr">
        <is>
          <t>Khaalis Wooden</t>
        </is>
      </c>
      <c r="J25" s="100" t="inlineStr">
        <is>
          <t>SUBMITTED 08/19/2026 — response transmitted by EMAIL to SSA ahead of the 09/28 due date; sent-mail confirmation (Outlook print-to-PDF, 'RFI Response - SSA AI Strategy', 08/19/2026) on file. Still a no-award market-research RFI (SHAPING / WATCH origin): Est. Value intentionally blank (No award — RFI); EXCLUDED from forecast / weighted-pipeline / revenue roll-up. Notice ID fa0630b52e8643468f1c7d0cba7ba961; Sol 28321326RI0000041; Type RFI (market research only); Sector Federal; Issuing office SSA Office of the CIO (NOT Office of Acquisition &amp; Grants); PSC DF01; Set-aside None (full &amp; open); Vehicle none required; Contract type N/A. Released 08/14/2026; Response due 09/28/2026 17:00 ET; Archives 10/13/2026; Incumbent N/A. Pre-RFP shaping: No — this response was the first contact. Submission: email, 6-page max, PDF/Word/text. Source: https://sam.gov/opp/fa0630b52e8643468f1c7d0cba7ba961/view. GATE 1: PASS (no kill triggers; non-informative for a no-award RFI). SCORE 4.20/10 (downstream hypothetical award, Federal rubric) | BAND Moderate | Pwin 25%. Factors: F1 0.50 | F2 0.30 | F3 1.00 | F4 0.50 | F5 0.10 | F6 0.10 | F7 0.60 | F8 0.40. B&amp;P actual ~8 hrs (capped). RECOMMENDATION was: Respond — limited scope; no capture plan; no B&amp;P beyond cap. CONTACTS: Marissa Piegols (POC, submissions + inquiries) Marissa.Piegols@ssa.gov; William Guo (submissions + inquiries) William.Guo@ssa.gov; Brian Peltier (SSA Chief AI Officer / Deputy CIO for Strategy; owns enterprise architecture + innovation; SUBMISSIONS ONLY, not on inquiry line) brian.peltier@ssa.gov [durable federal AI contact, independent of this pursuit]. MILESTONES: TRANSMIT response + PDF to addressees — DONE 08/19/2026 (early; sent-mail confirmation captured). Pre-submission steps (09/08 attribution/page-cap inquiry; 09/18 verify '12 of 68 dual-track' vs public MT NOIA; 09/22 Area-3 vendor-neutrality review, owner Akil) overtaken by the early 08/19 submission. REMAINING: file response as reusable agency-AI-RFI template (target 09/29, owner Khaalis) -&gt; template file in library. ARTIFACTS: submission sent by email 08/19/2026; sent-mail confirmation PDF (Outlook print-to-PDF) on file; response docs RFI_Response_SSA_EnterpriseAI_Visionblox_v1_0.pdf / .docx (source). DISCLOSURE: SSA may publish responses -&gt; treat as public. EXCLUDED from submission: CAHSP / GRHD (absolute); Kaiser (no disclosure permission); GSA MAS / SIN 54151HEAL (suppressed pending Refresh 31, wrong SIN anyway); VBX Montana evaluation scores / cost score / pricing. Named client in doc: Montana ONLY (public procurement record). CA DHCS and the commercial claims client appear unnamed, metrics preserved.</t>
        </is>
      </c>
    </row>
    <row r="26" ht="15" customHeight="1" s="52">
      <c r="A26" s="100" t="inlineStr">
        <is>
          <t>OPP-039</t>
        </is>
      </c>
      <c r="B26" s="100" t="inlineStr">
        <is>
          <t>AI Technologies for Procurement Modernization (CSO General Solicitation)</t>
        </is>
      </c>
      <c r="C26" s="100" t="inlineStr">
        <is>
          <t>DHS Office of Procurement Operations</t>
        </is>
      </c>
      <c r="D26" s="100" t="inlineStr">
        <is>
          <t>541512</t>
        </is>
      </c>
      <c r="E26" s="100" t="inlineStr">
        <is>
          <t>No-Bid</t>
        </is>
      </c>
      <c r="F26" s="101" t="n"/>
      <c r="G26" s="102" t="n">
        <v>46253</v>
      </c>
      <c r="H26" s="102" t="n">
        <v>46253</v>
      </c>
      <c r="I26" s="100" t="inlineStr">
        <is>
          <t>Khaalis Wooden</t>
        </is>
      </c>
      <c r="J26" s="100" t="inlineStr">
        <is>
          <t>CLOSED — NO BID (Stage=No-Bid). Decision 8/19/26, Khaalis Wooden. NOT SCORED — Gate 1 hard stop (score/Pwin/EV never computed — scoring engine did not run). B&amp;P $0. Sol. 70RDA126R00000009 | Notice ID ff9d55d6a268428081b54dc02f5bf2c1 | https://sam.gov/opp/ff9d55d6a268428081b54dc02f5bf2c1/view. End customer: DHS OCPO Procurement Innovation Lab (PIL). Sector: Federal. Authority: Non-FAR CSO Pilot Program (CSOP), §880 NDAA FY2017 as amended by §7227 NDAA FY2022. Set-aside: None (Full &amp; Open). Vehicle: none required (CSO vehicle-independent). PoP: Springfield, VA (contracting office Washington, DC is NOT the PoP; third-party feeds have this wrong). POC: Tracy Miller / Mariah Watt, @hq.dhs.gov. Notice archive date 9/10/26 = Archive (not deadline) — CSO general solicitation stays open with rolling topic calls by amendment. Submission deadline: Unverified (solicitation attachment unread; SAM renders client-side). Artifact: NoBid_DHS_AIProcurementModernizationCSO_20260819.docx (+ .pdf) — finished/filed, do not regenerate. RATIONALE: Gate 1 FAIL — vendor-type mismatch. CSO procures innovative COMMERCIAL ITEMS in the production/commercialization phase; DHS seeks a production-ready acquisition-technology product for a centralized OCPO tool portfolio. VBX is a healthcare systems integrator/custom builder, not a COTS/SaaS vendor. Second independent fail: past-performance floor — no federal acquisition-domain analog, no productized tool to demonstrate. Teaming rejected: a CSO buys the item from its owner; sub participation accrues $0 citable PP absent an enforced workshare floor. REVERSAL CONDITIONS (watch): R-1 — DHS issues a focus-area topic under this CSO (or a separate FAR-based action) scoped to integration/data-engineering/systems-modernization SERVICES rather than commercial-item delivery. R-2 — a product owner with a fielded, ATO-ready federal procurement AI tool invites VBX as integration sub under a Model C instrument carrying a written workshare floor and reference rights, executed before any volume is transmitted. Review trigger: re-check SAM notice for amendments MONTHLY through 9/10/26. ACTIONS: (1) File [Khaalis, due 8/21/26] — file no-bid record as authoritative for Sol. 70RDA126R00000009; success: pipeline row = CLOSED–NO BID with artifact linked. (2) Verify [Khaalis, due 8/26/26] — pull CSO general-solicitation attachment from SAM Notice ID ff9d55d6...; confirm whether any focus-area topic is services-scoped; success: attachment archived + R-1 confirmed true/false in writing. (3) Monitor [Khaalis, due 9/2/26] — add DHS APFS forecast records for OCPO/USCG acquisition-systems modernization (e.g. Acquisition Superhighway, NAICS 541511, BPA Call) to watch list; success: ≥1 DHS 541511 acquisition-modernization forecast record in watch tab. (4) Decide [Akil R. Chellam, due 9/15/26] — close SOC 2 Type 2 path decision (audit firm engaged or State-approved alternative elected); gates Montana Tier Two &gt;$100K; success: signed engagement letter or documented alternative election on file. (5) Redirect [Khaalis, due 8/20/26] — reallocate preserved B&amp;P to CMS ICAT (RFI 270196, due 8/20/26 10:00 ET); success: ICAT dual-track package submitted on time.</t>
        </is>
      </c>
    </row>
    <row r="27" ht="15" customHeight="1" s="52">
      <c r="A27" s="100" t="inlineStr">
        <is>
          <t>OPP-040</t>
        </is>
      </c>
      <c r="B27" s="100" t="inlineStr">
        <is>
          <t>DoWEA/DoDEA Data, Analytics &amp; AI Modernization (HE125426RE037)</t>
        </is>
      </c>
      <c r="C27" s="100" t="inlineStr">
        <is>
          <t>Dept of War Education Activity (DoWEA, ex-DoDEA) — Data &amp; AI Division</t>
        </is>
      </c>
      <c r="D27" s="100" t="inlineStr">
        <is>
          <t>541512</t>
        </is>
      </c>
      <c r="E27" s="100" t="inlineStr">
        <is>
          <t>Identified</t>
        </is>
      </c>
      <c r="F27" s="101" t="n">
        <v>47000000</v>
      </c>
      <c r="G27" s="102" t="n">
        <v>46253</v>
      </c>
      <c r="H27" s="102" t="n">
        <v>46253</v>
      </c>
      <c r="I27" s="100" t="inlineStr">
        <is>
          <t>Khaalis Wooden</t>
        </is>
      </c>
      <c r="J27" s="100" t="inlineStr">
        <is>
          <t>WATCH — Solicitation CANCELLED 08/17/26 18:10Z (SAM isCanceled=true/isActive=false; latest notice e309ee9b; chain 8db7f77a-&gt;f4f776cc(Amd0001)-&gt;e309ee9b). Single-award FFP IDIQ, Total SB Set-Aside, NAICS 541512, PSC DA01; ceiling $47M, min $25K; base+4 opt+6mo. TO1 'Foundational Services' CUI//SP-SSEL concurrent w/ award; ~396 PM/yr (33 FTE). Fed score 4.75/10 (Moderate), Pwin 5%. Gate 1 PASS but overridden: capacity mismatch (3-person bench, Montana-committed) + no DoD/K-12/Ed-Fi/Fabric past perf (F4). CMMC L1(DFARS 7021)-vs-L2(PWS 3.8/CUI) conflict UNRESOLVED. Re-issue likely (Amd0001 only flipped EDT-&gt;EST; cancelled 3d after extending). Related SS DoWEA-PSN-26-002 closed 07/29 = true loss point (not 08/25). POC ShaHannah Brown (KO), Tiffany Brown (CS). Re-check 09/15/26. Monitor: HE125426RE037 + DoWEA-PSN-26-002.</t>
        </is>
      </c>
    </row>
    <row r="28" ht="15" customHeight="1" s="52">
      <c r="A28" s="100" t="inlineStr">
        <is>
          <t>OPP-041</t>
        </is>
      </c>
      <c r="B28" s="100" t="inlineStr">
        <is>
          <t>AI-Powered Pre-Plan Check (AIP-PPC) Assistant (RAMP 222114 / RFP 2025AIP007)</t>
        </is>
      </c>
      <c r="C28" s="100" t="inlineStr">
        <is>
          <t>City of Los Angeles — Dept. of Building and Safety (LADBS)</t>
        </is>
      </c>
      <c r="D28" s="100" t="inlineStr">
        <is>
          <t>541511 / 541512</t>
        </is>
      </c>
      <c r="E28" s="100" t="inlineStr">
        <is>
          <t>No-Bid</t>
        </is>
      </c>
      <c r="F28" s="101" t="n"/>
      <c r="G28" s="102" t="n">
        <v>46253</v>
      </c>
      <c r="H28" s="102" t="n">
        <v>46253</v>
      </c>
      <c r="I28" s="100" t="inlineStr">
        <is>
          <t>Khaalis Wooden</t>
        </is>
      </c>
      <c r="J28" s="100" t="inlineStr">
        <is>
          <t>NO-BID 8/19/26 — Gate 1 FAIL (hard stop; not scored, no Band/EV). Solicitation: RAMP 222114 (RFP ref 2025AIP007). Sector: SLED (municipal). Set-aside: None (Business Inclusion Program applies). Vehicle: Open RFP via City of LA RAMP. Contract type: Personal Services (City of LA classification). Ceiling: NOT PUBLISHED — data gap. Posted 7/2/26; due 9/17/26. Amendments: Addendum 1 (7/23/26); Q&amp;A published (7/20/26). Incumbent: Archistar (AI PreCheck/eCheck) — deployed LA City since 7/15/25. Pre-RFP shaping: none. Kill reason: vendor-type mismatch (vendor-hosted product buy) + past-performance floor failure (no plan-review/building-code PP); structural — embedded zero-cost incumbent, shaping window closed. B&amp;P committed: $0 (est. $28K-$45K avoided). Decision owner: Khaalis Wooden; decision date 8/19/26. Reversal condition: LADBS reissues as integration/implementation services. Review date: 10/15/26. Artifact: NoBid_LADBS_AIP-PPC_20260819.docx (final record — do not regenerate/edit). Record authoritative — do not regenerate.</t>
        </is>
      </c>
    </row>
    <row r="29" ht="15" customHeight="1" s="52">
      <c r="A29" s="100" t="inlineStr">
        <is>
          <t>OPP-042</t>
        </is>
      </c>
      <c r="B29" s="100" t="inlineStr">
        <is>
          <t>Region 4 ESC RFP 26-14 — Artificial Intelligence and Total Cloud Solutions</t>
        </is>
      </c>
      <c r="C29" s="100" t="inlineStr">
        <is>
          <t>Region 4 ESC (lead agency, OMNIA Partners cooperative)</t>
        </is>
      </c>
      <c r="D29" s="100" t="inlineStr">
        <is>
          <t>541511</t>
        </is>
      </c>
      <c r="E29" s="100" t="inlineStr">
        <is>
          <t>No-Bid</t>
        </is>
      </c>
      <c r="F29" s="101" t="n"/>
      <c r="G29" s="102" t="n">
        <v>46253</v>
      </c>
      <c r="H29" s="102" t="n">
        <v>46253</v>
      </c>
      <c r="I29" s="100" t="inlineStr">
        <is>
          <t>Khaalis Wooden</t>
        </is>
      </c>
      <c r="J29" s="100" t="inlineStr">
        <is>
          <t>NO-BID (PRIME) 8/19/26 — SLED score 4.58/10 Moderate; economically-adjusted ~3.6 Low; true Pwin single-digit. GATE 1 two fires: (1) vendor-type mismatch — catalog/price-list vehicle, no catalog, no manufacturer LOAs, no distribution margin, no national sales force; (2) compliance disqualifier — SOC 2 Type 2 absent, not remediable by 9/8/26; no FedRAMP/StateRAMP; K-12 student-privacy posture (NY Ed Law 2-d, CA SOPIPA) unestablished. Full &amp; open (no MWBE weight). Due 9/8/26 2:00 PM CST; region4esc.ionwave.net; 3 base + 2 option yrs; 3% admin fee on GREATER of actual or guaranteed sales. STRATEGIC FINDING: vehicle access is NOT the constraint — VBX already holds a nationwide cooperative AI vehicle (Montana SPB26-0608GW-VSNBLX, executed 8/14/26). 26-14 as prime = redundant B&amp;P + admin-fee exposure during the CMS ICAT and SOC 2 windows. EV-positive path = authorized-partner/reseller admission under a 26-14 awardee (Ingram R220802 model): zero B&amp;P, zero admin-fee exposure. Record: NoBid_Region4ESC_AITotalCloud_20260819.docx (authoritative — do not regenerate). MONITORING TASK: pull the 26-14 award list at Region 4 board publication (target 12/15/26); screen each awardee for VBX authorized-partner admission; log awardees as Montana competitive intelligence. Scheduled watch active (Routine, 1st &amp; 15th monthly). Doc-mechanics operator-confirmed (portal registration-gated; not independently retrieved as of 8/19/26).</t>
        </is>
      </c>
    </row>
    <row r="30" ht="15" customHeight="1" s="52">
      <c r="A30" s="100" t="n"/>
      <c r="B30" s="100" t="n"/>
      <c r="C30" s="100" t="n"/>
      <c r="D30" s="100" t="n"/>
      <c r="E30" s="100" t="n"/>
      <c r="F30" s="101" t="n"/>
      <c r="G30" s="102" t="n"/>
      <c r="H30" s="102" t="n"/>
      <c r="I30" s="100" t="n"/>
      <c r="J30" s="100" t="n"/>
    </row>
    <row r="31" ht="15" customHeight="1" s="52">
      <c r="A31" s="100" t="n"/>
      <c r="B31" s="100" t="n"/>
      <c r="C31" s="100" t="n"/>
      <c r="D31" s="100" t="n"/>
      <c r="E31" s="100" t="n"/>
      <c r="F31" s="101" t="n"/>
      <c r="G31" s="102" t="n"/>
      <c r="H31" s="102" t="n"/>
      <c r="I31" s="100" t="n"/>
      <c r="J31" s="100" t="n"/>
    </row>
    <row r="32" ht="15" customHeight="1" s="52">
      <c r="A32" s="100" t="n"/>
      <c r="B32" s="100" t="n"/>
      <c r="C32" s="100" t="n"/>
      <c r="D32" s="100" t="n"/>
      <c r="E32" s="100" t="n"/>
      <c r="F32" s="101" t="n"/>
      <c r="G32" s="102" t="n"/>
      <c r="H32" s="102" t="n"/>
      <c r="I32" s="100" t="n"/>
      <c r="J32" s="100" t="n"/>
    </row>
    <row r="33" ht="15" customHeight="1" s="52">
      <c r="A33" s="100" t="n"/>
      <c r="B33" s="100" t="n"/>
      <c r="C33" s="100" t="n"/>
      <c r="D33" s="100" t="n"/>
      <c r="E33" s="100" t="n"/>
      <c r="F33" s="101" t="n"/>
      <c r="G33" s="102" t="n"/>
      <c r="H33" s="102" t="n"/>
      <c r="I33" s="100" t="n"/>
      <c r="J33" s="100" t="n"/>
    </row>
    <row r="34" ht="15" customHeight="1" s="52">
      <c r="A34" s="100" t="n"/>
      <c r="B34" s="100" t="n"/>
      <c r="C34" s="100" t="n"/>
      <c r="D34" s="100" t="n"/>
      <c r="E34" s="100" t="n"/>
      <c r="F34" s="101" t="n"/>
      <c r="G34" s="102" t="n"/>
      <c r="H34" s="102" t="n"/>
      <c r="I34" s="100" t="n"/>
      <c r="J34" s="100" t="n"/>
    </row>
    <row r="35" ht="15" customHeight="1" s="52">
      <c r="A35" s="100" t="n"/>
      <c r="B35" s="100" t="n"/>
      <c r="C35" s="100" t="n"/>
      <c r="D35" s="100" t="n"/>
      <c r="E35" s="100" t="n"/>
      <c r="F35" s="101" t="n"/>
      <c r="G35" s="102" t="n"/>
      <c r="H35" s="102" t="n"/>
      <c r="I35" s="100" t="n"/>
      <c r="J35" s="100" t="n"/>
    </row>
    <row r="36" ht="15" customHeight="1" s="52">
      <c r="A36" s="100" t="n"/>
      <c r="B36" s="100" t="n"/>
      <c r="C36" s="100" t="n"/>
      <c r="D36" s="100" t="n"/>
      <c r="E36" s="100" t="n"/>
      <c r="F36" s="101" t="n"/>
      <c r="G36" s="102" t="n"/>
      <c r="H36" s="102" t="n"/>
      <c r="I36" s="100" t="n"/>
      <c r="J36" s="100" t="n"/>
    </row>
    <row r="37" ht="15" customHeight="1" s="52">
      <c r="A37" s="100" t="n"/>
      <c r="B37" s="100" t="n"/>
      <c r="C37" s="100" t="n"/>
      <c r="D37" s="100" t="n"/>
      <c r="E37" s="100" t="n"/>
      <c r="F37" s="101" t="n"/>
      <c r="G37" s="102" t="n"/>
      <c r="H37" s="102" t="n"/>
      <c r="I37" s="100" t="n"/>
      <c r="J37" s="100" t="n"/>
    </row>
    <row r="38" ht="15" customHeight="1" s="52">
      <c r="A38" s="100" t="n"/>
      <c r="B38" s="100" t="n"/>
      <c r="C38" s="100" t="n"/>
      <c r="D38" s="100" t="n"/>
      <c r="E38" s="100" t="n"/>
      <c r="F38" s="101" t="n"/>
      <c r="G38" s="102" t="n"/>
      <c r="H38" s="102" t="n"/>
      <c r="I38" s="100" t="n"/>
      <c r="J38" s="100" t="n"/>
    </row>
    <row r="39" ht="15" customHeight="1" s="52">
      <c r="A39" s="100" t="n"/>
      <c r="B39" s="100" t="n"/>
      <c r="C39" s="100" t="n"/>
      <c r="D39" s="100" t="n"/>
      <c r="E39" s="100" t="n"/>
      <c r="F39" s="101" t="n"/>
      <c r="G39" s="102" t="n"/>
      <c r="H39" s="102" t="n"/>
      <c r="I39" s="100" t="n"/>
      <c r="J39" s="100" t="n"/>
    </row>
    <row r="40" ht="15" customHeight="1" s="52">
      <c r="A40" s="100" t="n"/>
      <c r="B40" s="100" t="n"/>
      <c r="C40" s="100" t="n"/>
      <c r="D40" s="100" t="n"/>
      <c r="E40" s="100" t="n"/>
      <c r="F40" s="101" t="n"/>
      <c r="G40" s="102" t="n"/>
      <c r="H40" s="102" t="n"/>
      <c r="I40" s="100" t="n"/>
      <c r="J40" s="100" t="n"/>
    </row>
    <row r="41" ht="15" customHeight="1" s="52">
      <c r="A41" s="100" t="n"/>
      <c r="B41" s="100" t="n"/>
      <c r="C41" s="100" t="n"/>
      <c r="D41" s="100" t="n"/>
      <c r="E41" s="100" t="n"/>
      <c r="F41" s="101" t="n"/>
      <c r="G41" s="102" t="n"/>
      <c r="H41" s="102" t="n"/>
      <c r="I41" s="100" t="n"/>
      <c r="J41" s="100" t="n"/>
    </row>
    <row r="42" ht="15" customHeight="1" s="52">
      <c r="A42" s="100" t="n"/>
      <c r="B42" s="100" t="n"/>
      <c r="C42" s="100" t="n"/>
      <c r="D42" s="100" t="n"/>
      <c r="E42" s="100" t="n"/>
      <c r="F42" s="101" t="n"/>
      <c r="G42" s="102" t="n"/>
      <c r="H42" s="102" t="n"/>
      <c r="I42" s="100" t="n"/>
      <c r="J42" s="100" t="n"/>
    </row>
    <row r="43" ht="15" customHeight="1" s="52">
      <c r="A43" s="100" t="n"/>
      <c r="B43" s="100" t="n"/>
      <c r="C43" s="100" t="n"/>
      <c r="D43" s="100" t="n"/>
      <c r="E43" s="100" t="n"/>
      <c r="F43" s="101" t="n"/>
      <c r="G43" s="102" t="n"/>
      <c r="H43" s="102" t="n"/>
      <c r="I43" s="100" t="n"/>
      <c r="J43" s="100" t="n"/>
    </row>
    <row r="44" ht="15" customHeight="1" s="52">
      <c r="A44" s="100" t="n"/>
      <c r="B44" s="100" t="n"/>
      <c r="C44" s="100" t="n"/>
      <c r="D44" s="100" t="n"/>
      <c r="E44" s="100" t="n"/>
      <c r="F44" s="101" t="n"/>
      <c r="G44" s="102" t="n"/>
      <c r="H44" s="102" t="n"/>
      <c r="I44" s="100" t="n"/>
      <c r="J44" s="100" t="n"/>
    </row>
    <row r="45" ht="15" customHeight="1" s="52">
      <c r="A45" s="100" t="n"/>
      <c r="B45" s="100" t="n"/>
      <c r="C45" s="100" t="n"/>
      <c r="D45" s="100" t="n"/>
      <c r="E45" s="100" t="n"/>
      <c r="F45" s="101" t="n"/>
      <c r="G45" s="102" t="n"/>
      <c r="H45" s="102" t="n"/>
      <c r="I45" s="100" t="n"/>
      <c r="J45" s="100" t="n"/>
    </row>
    <row r="46" ht="15" customHeight="1" s="52">
      <c r="A46" s="100" t="n"/>
      <c r="B46" s="100" t="n"/>
      <c r="C46" s="100" t="n"/>
      <c r="D46" s="100" t="n"/>
      <c r="E46" s="100" t="n"/>
      <c r="F46" s="101" t="n"/>
      <c r="G46" s="102" t="n"/>
      <c r="H46" s="102" t="n"/>
      <c r="I46" s="100" t="n"/>
      <c r="J46" s="100" t="n"/>
    </row>
    <row r="47" ht="15" customHeight="1" s="52">
      <c r="A47" s="100" t="n"/>
      <c r="B47" s="100" t="n"/>
      <c r="C47" s="100" t="n"/>
      <c r="D47" s="100" t="n"/>
      <c r="E47" s="100" t="n"/>
      <c r="F47" s="101" t="n"/>
      <c r="G47" s="102" t="n"/>
      <c r="H47" s="102" t="n"/>
      <c r="I47" s="100" t="n"/>
      <c r="J47" s="100" t="n"/>
    </row>
    <row r="48" ht="15" customHeight="1" s="52">
      <c r="A48" s="100" t="n"/>
      <c r="B48" s="100" t="n"/>
      <c r="C48" s="100" t="n"/>
      <c r="D48" s="100" t="n"/>
      <c r="E48" s="100" t="n"/>
      <c r="F48" s="101" t="n"/>
      <c r="G48" s="102" t="n"/>
      <c r="H48" s="102" t="n"/>
      <c r="I48" s="100" t="n"/>
      <c r="J48" s="100" t="n"/>
    </row>
    <row r="49" ht="15" customHeight="1" s="52">
      <c r="A49" s="100" t="n"/>
      <c r="B49" s="100" t="n"/>
      <c r="C49" s="100" t="n"/>
      <c r="D49" s="100" t="n"/>
      <c r="E49" s="100" t="n"/>
      <c r="F49" s="101" t="n"/>
      <c r="G49" s="102" t="n"/>
      <c r="H49" s="102" t="n"/>
      <c r="I49" s="100" t="n"/>
      <c r="J49" s="100" t="n"/>
    </row>
    <row r="50" ht="15" customHeight="1" s="52">
      <c r="A50" s="100" t="n"/>
      <c r="B50" s="100" t="n"/>
      <c r="C50" s="100" t="n"/>
      <c r="D50" s="100" t="n"/>
      <c r="E50" s="100" t="n"/>
      <c r="F50" s="101" t="n"/>
      <c r="G50" s="102" t="n"/>
      <c r="H50" s="102" t="n"/>
      <c r="I50" s="100" t="n"/>
      <c r="J50" s="100" t="n"/>
    </row>
    <row r="51" ht="15" customHeight="1" s="52">
      <c r="A51" s="100" t="n"/>
      <c r="B51" s="100" t="n"/>
      <c r="C51" s="100" t="n"/>
      <c r="D51" s="100" t="n"/>
      <c r="E51" s="100" t="n"/>
      <c r="F51" s="101" t="n"/>
      <c r="G51" s="102" t="n"/>
      <c r="H51" s="102" t="n"/>
      <c r="I51" s="100" t="n"/>
      <c r="J51" s="100" t="n"/>
    </row>
    <row r="52" ht="15" customHeight="1" s="52">
      <c r="A52" s="100" t="n"/>
      <c r="B52" s="100" t="n"/>
      <c r="C52" s="100" t="n"/>
      <c r="D52" s="100" t="n"/>
      <c r="E52" s="100" t="n"/>
      <c r="F52" s="101" t="n"/>
      <c r="G52" s="102" t="n"/>
      <c r="H52" s="102" t="n"/>
      <c r="I52" s="100" t="n"/>
      <c r="J52" s="100" t="n"/>
    </row>
    <row r="53" ht="15" customHeight="1" s="52">
      <c r="A53" s="100" t="n"/>
      <c r="B53" s="100" t="n"/>
      <c r="C53" s="100" t="n"/>
      <c r="D53" s="100" t="n"/>
      <c r="E53" s="100" t="n"/>
      <c r="F53" s="101" t="n"/>
      <c r="G53" s="102" t="n"/>
      <c r="H53" s="102" t="n"/>
      <c r="I53" s="100" t="n"/>
      <c r="J53" s="100" t="n"/>
    </row>
    <row r="54" ht="15" customHeight="1" s="52">
      <c r="A54" s="100" t="n"/>
      <c r="B54" s="100" t="n"/>
      <c r="C54" s="100" t="n"/>
      <c r="D54" s="100" t="n"/>
      <c r="E54" s="100" t="n"/>
      <c r="F54" s="101" t="n"/>
      <c r="G54" s="102" t="n"/>
      <c r="H54" s="102" t="n"/>
      <c r="I54" s="100" t="n"/>
      <c r="J54" s="100" t="n"/>
    </row>
    <row r="55" ht="15" customHeight="1" s="52">
      <c r="A55" s="100" t="n"/>
      <c r="B55" s="100" t="n"/>
      <c r="C55" s="100" t="n"/>
      <c r="D55" s="100" t="n"/>
      <c r="E55" s="100" t="n"/>
      <c r="F55" s="101" t="n"/>
      <c r="G55" s="102" t="n"/>
      <c r="H55" s="102" t="n"/>
      <c r="I55" s="100" t="n"/>
      <c r="J55" s="100" t="n"/>
    </row>
    <row r="56" ht="15" customHeight="1" s="52">
      <c r="A56" s="100" t="n"/>
      <c r="B56" s="100" t="n"/>
      <c r="C56" s="100" t="n"/>
      <c r="D56" s="100" t="n"/>
      <c r="E56" s="100" t="n"/>
      <c r="F56" s="101" t="n"/>
      <c r="G56" s="102" t="n"/>
      <c r="H56" s="102" t="n"/>
      <c r="I56" s="100" t="n"/>
      <c r="J56" s="100" t="n"/>
    </row>
    <row r="57" ht="15" customHeight="1" s="52">
      <c r="A57" s="100" t="n"/>
      <c r="B57" s="100" t="n"/>
      <c r="C57" s="100" t="n"/>
      <c r="D57" s="100" t="n"/>
      <c r="E57" s="100" t="n"/>
      <c r="F57" s="101" t="n"/>
      <c r="G57" s="102" t="n"/>
      <c r="H57" s="102" t="n"/>
      <c r="I57" s="100" t="n"/>
      <c r="J57" s="100" t="n"/>
    </row>
    <row r="58" ht="15" customHeight="1" s="52">
      <c r="A58" s="100" t="n"/>
      <c r="B58" s="100" t="n"/>
      <c r="C58" s="100" t="n"/>
      <c r="D58" s="100" t="n"/>
      <c r="E58" s="100" t="n"/>
      <c r="F58" s="101" t="n"/>
      <c r="G58" s="102" t="n"/>
      <c r="H58" s="102" t="n"/>
      <c r="I58" s="100" t="n"/>
      <c r="J58" s="100" t="n"/>
    </row>
    <row r="59" ht="15" customHeight="1" s="52">
      <c r="A59" s="100" t="n"/>
      <c r="B59" s="100" t="n"/>
      <c r="C59" s="100" t="n"/>
      <c r="D59" s="100" t="n"/>
      <c r="E59" s="100" t="n"/>
      <c r="F59" s="101" t="n"/>
      <c r="G59" s="102" t="n"/>
      <c r="H59" s="102" t="n"/>
      <c r="I59" s="100" t="n"/>
      <c r="J59" s="100" t="n"/>
    </row>
    <row r="60" ht="15" customHeight="1" s="52">
      <c r="A60" s="100" t="n"/>
      <c r="B60" s="100" t="n"/>
      <c r="C60" s="100" t="n"/>
      <c r="D60" s="100" t="n"/>
      <c r="E60" s="100" t="n"/>
      <c r="F60" s="101" t="n"/>
      <c r="G60" s="102" t="n"/>
      <c r="H60" s="102" t="n"/>
      <c r="I60" s="100" t="n"/>
      <c r="J60" s="100" t="n"/>
    </row>
    <row r="61" ht="15" customHeight="1" s="52">
      <c r="A61" s="100" t="n"/>
      <c r="B61" s="100" t="n"/>
      <c r="C61" s="100" t="n"/>
      <c r="D61" s="100" t="n"/>
      <c r="E61" s="100" t="n"/>
      <c r="F61" s="101" t="n"/>
      <c r="G61" s="102" t="n"/>
      <c r="H61" s="102" t="n"/>
      <c r="I61" s="100" t="n"/>
      <c r="J61" s="100" t="n"/>
    </row>
    <row r="62" ht="15" customHeight="1" s="52">
      <c r="A62" s="100" t="n"/>
      <c r="B62" s="100" t="n"/>
      <c r="C62" s="100" t="n"/>
      <c r="D62" s="100" t="n"/>
      <c r="E62" s="100" t="n"/>
      <c r="F62" s="101" t="n"/>
      <c r="G62" s="102" t="n"/>
      <c r="H62" s="102" t="n"/>
      <c r="I62" s="100" t="n"/>
      <c r="J62" s="100" t="n"/>
    </row>
    <row r="63" ht="15" customHeight="1" s="52">
      <c r="A63" s="100" t="n"/>
      <c r="B63" s="100" t="n"/>
      <c r="C63" s="100" t="n"/>
      <c r="D63" s="100" t="n"/>
      <c r="E63" s="100" t="n"/>
      <c r="F63" s="101" t="n"/>
      <c r="G63" s="102" t="n"/>
      <c r="H63" s="102" t="n"/>
      <c r="I63" s="100" t="n"/>
      <c r="J63" s="100" t="n"/>
    </row>
    <row r="64" ht="15" customHeight="1" s="52">
      <c r="A64" s="100" t="n"/>
      <c r="B64" s="100" t="n"/>
      <c r="C64" s="100" t="n"/>
      <c r="D64" s="100" t="n"/>
      <c r="E64" s="100" t="n"/>
      <c r="F64" s="101" t="n"/>
      <c r="G64" s="102" t="n"/>
      <c r="H64" s="102" t="n"/>
      <c r="I64" s="100" t="n"/>
      <c r="J64" s="100" t="n"/>
    </row>
    <row r="65" ht="15" customHeight="1" s="52">
      <c r="A65" s="100" t="n"/>
      <c r="B65" s="100" t="n"/>
      <c r="C65" s="100" t="n"/>
      <c r="D65" s="100" t="n"/>
      <c r="E65" s="100" t="n"/>
      <c r="F65" s="101" t="n"/>
      <c r="G65" s="102" t="n"/>
      <c r="H65" s="102" t="n"/>
      <c r="I65" s="100" t="n"/>
      <c r="J65" s="100" t="n"/>
    </row>
    <row r="66" ht="15" customHeight="1" s="52">
      <c r="A66" s="100" t="n"/>
      <c r="B66" s="100" t="n"/>
      <c r="C66" s="100" t="n"/>
      <c r="D66" s="100" t="n"/>
      <c r="E66" s="100" t="n"/>
      <c r="F66" s="101" t="n"/>
      <c r="G66" s="102" t="n"/>
      <c r="H66" s="102" t="n"/>
      <c r="I66" s="100" t="n"/>
      <c r="J66" s="100" t="n"/>
    </row>
    <row r="67" ht="15" customHeight="1" s="52">
      <c r="A67" s="100" t="n"/>
      <c r="B67" s="100" t="n"/>
      <c r="C67" s="100" t="n"/>
      <c r="D67" s="100" t="n"/>
      <c r="E67" s="100" t="n"/>
      <c r="F67" s="101" t="n"/>
      <c r="G67" s="102" t="n"/>
      <c r="H67" s="102" t="n"/>
      <c r="I67" s="100" t="n"/>
      <c r="J67" s="100" t="n"/>
    </row>
    <row r="68" ht="15" customHeight="1" s="52">
      <c r="A68" s="100" t="n"/>
      <c r="B68" s="100" t="n"/>
      <c r="C68" s="100" t="n"/>
      <c r="D68" s="100" t="n"/>
      <c r="E68" s="100" t="n"/>
      <c r="F68" s="101" t="n"/>
      <c r="G68" s="102" t="n"/>
      <c r="H68" s="102" t="n"/>
      <c r="I68" s="100" t="n"/>
      <c r="J68" s="100" t="n"/>
    </row>
    <row r="69" ht="15" customHeight="1" s="52">
      <c r="A69" s="100" t="n"/>
      <c r="B69" s="100" t="n"/>
      <c r="C69" s="100" t="n"/>
      <c r="D69" s="100" t="n"/>
      <c r="E69" s="100" t="n"/>
      <c r="F69" s="101" t="n"/>
      <c r="G69" s="102" t="n"/>
      <c r="H69" s="102" t="n"/>
      <c r="I69" s="100" t="n"/>
      <c r="J69" s="100" t="n"/>
    </row>
    <row r="70" ht="15" customHeight="1" s="52">
      <c r="A70" s="100" t="n"/>
      <c r="B70" s="100" t="n"/>
      <c r="C70" s="100" t="n"/>
      <c r="D70" s="100" t="n"/>
      <c r="E70" s="100" t="n"/>
      <c r="F70" s="101" t="n"/>
      <c r="G70" s="102" t="n"/>
      <c r="H70" s="102" t="n"/>
      <c r="I70" s="100" t="n"/>
      <c r="J70" s="100" t="n"/>
    </row>
    <row r="71" ht="15" customHeight="1" s="52">
      <c r="A71" s="100" t="n"/>
      <c r="B71" s="100" t="n"/>
      <c r="C71" s="100" t="n"/>
      <c r="D71" s="100" t="n"/>
      <c r="E71" s="100" t="n"/>
      <c r="F71" s="101" t="n"/>
      <c r="G71" s="102" t="n"/>
      <c r="H71" s="102" t="n"/>
      <c r="I71" s="100" t="n"/>
      <c r="J71" s="100" t="n"/>
    </row>
    <row r="72" ht="15" customHeight="1" s="52">
      <c r="A72" s="100" t="n"/>
      <c r="B72" s="100" t="n"/>
      <c r="C72" s="100" t="n"/>
      <c r="D72" s="100" t="n"/>
      <c r="E72" s="100" t="n"/>
      <c r="F72" s="101" t="n"/>
      <c r="G72" s="102" t="n"/>
      <c r="H72" s="102" t="n"/>
      <c r="I72" s="100" t="n"/>
      <c r="J72" s="100" t="n"/>
    </row>
    <row r="73" ht="15" customHeight="1" s="52">
      <c r="A73" s="100" t="n"/>
      <c r="B73" s="100" t="n"/>
      <c r="C73" s="100" t="n"/>
      <c r="D73" s="100" t="n"/>
      <c r="E73" s="100" t="n"/>
      <c r="F73" s="101" t="n"/>
      <c r="G73" s="102" t="n"/>
      <c r="H73" s="102" t="n"/>
      <c r="I73" s="100" t="n"/>
      <c r="J73" s="100" t="n"/>
    </row>
    <row r="74" ht="15" customHeight="1" s="52">
      <c r="A74" s="100" t="n"/>
      <c r="B74" s="100" t="n"/>
      <c r="C74" s="100" t="n"/>
      <c r="D74" s="100" t="n"/>
      <c r="E74" s="100" t="n"/>
      <c r="F74" s="101" t="n"/>
      <c r="G74" s="102" t="n"/>
      <c r="H74" s="102" t="n"/>
      <c r="I74" s="100" t="n"/>
      <c r="J74" s="100" t="n"/>
    </row>
    <row r="75" ht="15" customHeight="1" s="52">
      <c r="A75" s="100" t="n"/>
      <c r="B75" s="100" t="n"/>
      <c r="C75" s="100" t="n"/>
      <c r="D75" s="100" t="n"/>
      <c r="E75" s="100" t="n"/>
      <c r="F75" s="101" t="n"/>
      <c r="G75" s="102" t="n"/>
      <c r="H75" s="102" t="n"/>
      <c r="I75" s="100" t="n"/>
      <c r="J75" s="100" t="n"/>
    </row>
    <row r="76" ht="15" customHeight="1" s="52">
      <c r="A76" s="100" t="n"/>
      <c r="B76" s="100" t="n"/>
      <c r="C76" s="100" t="n"/>
      <c r="D76" s="100" t="n"/>
      <c r="E76" s="100" t="n"/>
      <c r="F76" s="101" t="n"/>
      <c r="G76" s="102" t="n"/>
      <c r="H76" s="102" t="n"/>
      <c r="I76" s="100" t="n"/>
      <c r="J76" s="100" t="n"/>
    </row>
    <row r="77" ht="15" customHeight="1" s="52">
      <c r="A77" s="100" t="n"/>
      <c r="B77" s="100" t="n"/>
      <c r="C77" s="100" t="n"/>
      <c r="D77" s="100" t="n"/>
      <c r="E77" s="100" t="n"/>
      <c r="F77" s="101" t="n"/>
      <c r="G77" s="102" t="n"/>
      <c r="H77" s="102" t="n"/>
      <c r="I77" s="100" t="n"/>
      <c r="J77" s="100" t="n"/>
    </row>
    <row r="78" ht="15" customHeight="1" s="52">
      <c r="A78" s="100" t="n"/>
      <c r="B78" s="100" t="n"/>
      <c r="C78" s="100" t="n"/>
      <c r="D78" s="100" t="n"/>
      <c r="E78" s="100" t="n"/>
      <c r="F78" s="101" t="n"/>
      <c r="G78" s="102" t="n"/>
      <c r="H78" s="102" t="n"/>
      <c r="I78" s="100" t="n"/>
      <c r="J78" s="100" t="n"/>
    </row>
    <row r="79" ht="15" customHeight="1" s="52">
      <c r="A79" s="100" t="n"/>
      <c r="B79" s="100" t="n"/>
      <c r="C79" s="100" t="n"/>
      <c r="D79" s="100" t="n"/>
      <c r="E79" s="100" t="n"/>
      <c r="F79" s="101" t="n"/>
      <c r="G79" s="102" t="n"/>
      <c r="H79" s="102" t="n"/>
      <c r="I79" s="100" t="n"/>
      <c r="J79" s="100" t="n"/>
    </row>
    <row r="80" ht="15" customHeight="1" s="52">
      <c r="A80" s="100" t="n"/>
      <c r="B80" s="100" t="n"/>
      <c r="C80" s="100" t="n"/>
      <c r="D80" s="100" t="n"/>
      <c r="E80" s="100" t="n"/>
      <c r="F80" s="101" t="n"/>
      <c r="G80" s="102" t="n"/>
      <c r="H80" s="102" t="n"/>
      <c r="I80" s="100" t="n"/>
      <c r="J80" s="100" t="n"/>
    </row>
    <row r="81" ht="15" customHeight="1" s="52">
      <c r="A81" s="100" t="n"/>
      <c r="B81" s="100" t="n"/>
      <c r="C81" s="100" t="n"/>
      <c r="D81" s="100" t="n"/>
      <c r="E81" s="100" t="n"/>
      <c r="F81" s="101" t="n"/>
      <c r="G81" s="102" t="n"/>
      <c r="H81" s="102" t="n"/>
      <c r="I81" s="100" t="n"/>
      <c r="J81" s="100" t="n"/>
    </row>
    <row r="82" ht="15" customHeight="1" s="52">
      <c r="A82" s="100" t="n"/>
      <c r="B82" s="100" t="n"/>
      <c r="C82" s="100" t="n"/>
      <c r="D82" s="100" t="n"/>
      <c r="E82" s="100" t="n"/>
      <c r="F82" s="101" t="n"/>
      <c r="G82" s="102" t="n"/>
      <c r="H82" s="102" t="n"/>
      <c r="I82" s="100" t="n"/>
      <c r="J82" s="100" t="n"/>
    </row>
    <row r="83" ht="15" customHeight="1" s="52"/>
    <row r="84" ht="15" customHeight="1" s="52"/>
    <row r="85" ht="15" customHeight="1" s="52"/>
    <row r="86" ht="15" customHeight="1" s="52"/>
    <row r="87" ht="15" customHeight="1" s="52"/>
    <row r="88" ht="15" customHeight="1" s="52"/>
    <row r="89" ht="15" customHeight="1" s="52"/>
    <row r="90" ht="15" customHeight="1" s="52"/>
    <row r="91" ht="15" customHeight="1" s="52"/>
    <row r="92" ht="15" customHeight="1" s="52"/>
    <row r="93" ht="15" customHeight="1" s="52"/>
    <row r="94" ht="15" customHeight="1" s="52"/>
    <row r="95" ht="15" customHeight="1" s="52"/>
    <row r="96" ht="15" customHeight="1" s="52"/>
    <row r="97" ht="15" customHeight="1" s="52"/>
    <row r="98" ht="15" customHeight="1" s="52"/>
    <row r="99" ht="15" customHeight="1" s="52"/>
  </sheetData>
  <mergeCells count="2">
    <mergeCell ref="A1:J1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>
    <tabColor rgb="FFB0BEC5"/>
    <outlinePr summaryBelow="1" summaryRight="1"/>
    <pageSetUpPr/>
  </sheetPr>
  <dimension ref="A1:O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2" min="1" max="1"/>
    <col width="36" customWidth="1" style="52" min="2" max="2"/>
    <col width="14" customWidth="1" style="52" min="3" max="3"/>
    <col width="22" customWidth="1" style="52" min="4" max="4"/>
    <col width="14" customWidth="1" style="52" min="5" max="5"/>
    <col width="34" customWidth="1" style="52" min="6" max="6"/>
    <col width="18" customWidth="1" style="52" min="7" max="7"/>
    <col width="34" customWidth="1" style="52" min="8" max="8"/>
    <col width="46" customWidth="1" style="52" min="9" max="9"/>
    <col width="34" customWidth="1" style="52" min="10" max="10"/>
    <col width="30" customWidth="1" style="52" min="11" max="11"/>
    <col width="26" customWidth="1" style="52" min="12" max="12"/>
    <col width="26" customWidth="1" style="52" min="13" max="13"/>
    <col width="22" customWidth="1" style="52" min="14" max="14"/>
    <col width="30" customWidth="1" style="52" min="15" max="15"/>
  </cols>
  <sheetData>
    <row r="1" ht="27.75" customHeight="1" s="52">
      <c r="A1" s="117" t="inlineStr">
        <is>
          <t xml:space="preserve">  OPPORTUNITY DETAIL  —  BD Posture &amp; Technical Scope  </t>
        </is>
      </c>
    </row>
    <row r="2" ht="21.75" customHeight="1" s="52">
      <c r="A2" s="118" t="inlineStr">
        <is>
          <t xml:space="preserve">  One row per Pipeline opportunity, same order. BD posture + technical scope so operations and delivery can plan support. INTERNAL — not published to the leadership site.</t>
        </is>
      </c>
    </row>
    <row r="3"/>
    <row r="4" ht="30" customHeight="1" s="52">
      <c r="A4" s="119" t="inlineStr">
        <is>
          <t>Opp ID</t>
        </is>
      </c>
      <c r="B4" s="119" t="inlineStr">
        <is>
          <t>Opportunity Name</t>
        </is>
      </c>
      <c r="C4" s="119" t="inlineStr">
        <is>
          <t>BD Posture</t>
        </is>
      </c>
      <c r="D4" s="119" t="inlineStr">
        <is>
          <t>Teaming Status</t>
        </is>
      </c>
      <c r="E4" s="119" t="inlineStr">
        <is>
          <t>Response Due</t>
        </is>
      </c>
      <c r="F4" s="119" t="inlineStr">
        <is>
          <t>Next Milestone</t>
        </is>
      </c>
      <c r="G4" s="119" t="inlineStr">
        <is>
          <t>Milestone Owner</t>
        </is>
      </c>
      <c r="H4" s="119" t="inlineStr">
        <is>
          <t>Win Theme</t>
        </is>
      </c>
      <c r="I4" s="119" t="inlineStr">
        <is>
          <t>Scope Summary</t>
        </is>
      </c>
      <c r="J4" s="119" t="inlineStr">
        <is>
          <t>Capabilities Required</t>
        </is>
      </c>
      <c r="K4" s="119" t="inlineStr">
        <is>
          <t>Labor Categories</t>
        </is>
      </c>
      <c r="L4" s="119" t="inlineStr">
        <is>
          <t>Compliance Gates</t>
        </is>
      </c>
      <c r="M4" s="119" t="inlineStr">
        <is>
          <t>Place of Performance</t>
        </is>
      </c>
      <c r="N4" s="119" t="inlineStr">
        <is>
          <t>Period of Performance</t>
        </is>
      </c>
      <c r="O4" s="119" t="inlineStr">
        <is>
          <t>Staffing Gap</t>
        </is>
      </c>
    </row>
    <row r="5">
      <c r="A5" s="115" t="inlineStr">
        <is>
          <t>OPP-001</t>
        </is>
      </c>
      <c r="B5" s="115" t="inlineStr">
        <is>
          <t>Montana AI Products &amp; Services (SPB-RFP-2026-0608GW) — Tracks 1 &amp; 2</t>
        </is>
      </c>
      <c r="C5" s="115" t="inlineStr">
        <is>
          <t>Prime</t>
        </is>
      </c>
      <c r="D5" s="115" t="inlineStr">
        <is>
          <t>Solo</t>
        </is>
      </c>
      <c r="E5" s="120" t="n"/>
      <c r="F5" s="115" t="inlineStr">
        <is>
          <t>Execute the DocuSign contract; complete eMACS awarded-vendor registration + insurance filing (10 business days from NOIA)</t>
        </is>
      </c>
      <c r="G5" s="115" t="inlineStr">
        <is>
          <t>Khaalis Wooden</t>
        </is>
      </c>
      <c r="H5" s="115" t="n"/>
      <c r="I5" s="115" t="inlineStr">
        <is>
          <t>Statewide AI products and services on Tracks 1 and 2 of the Montana cooperative vehicle. Vehicle executed 8/14/26 (SPB26-0608GW-VSNBLX) and is nationwide-accessible.</t>
        </is>
      </c>
      <c r="J5" s="115" t="inlineStr">
        <is>
          <t>AI/ML solution delivery</t>
        </is>
      </c>
      <c r="K5" s="115" t="n"/>
      <c r="L5" s="115" t="inlineStr">
        <is>
          <t>WC + GL insurance ($2M/$2M); Cyber/Info Security insurance ($6M); eMACS awarded-vendor registration; SOC 2 Type 2 (gates Tier Two &gt; $100K)</t>
        </is>
      </c>
      <c r="M5" s="115" t="n"/>
      <c r="N5" s="115" t="n"/>
      <c r="O5" s="115" t="inlineStr">
        <is>
          <t>Insurance COIs secured; SOC 2 Type 2 path decision still open.</t>
        </is>
      </c>
    </row>
    <row r="6">
      <c r="A6" s="115" t="inlineStr">
        <is>
          <t>OPP-019</t>
        </is>
      </c>
      <c r="B6" s="115" t="inlineStr">
        <is>
          <t>USDA Community Connect</t>
        </is>
      </c>
      <c r="C6" s="115" t="inlineStr">
        <is>
          <t>Not pursuing</t>
        </is>
      </c>
      <c r="D6" s="115" t="inlineStr">
        <is>
          <t>N/A</t>
        </is>
      </c>
      <c r="E6" s="120" t="n"/>
      <c r="F6" s="115" t="inlineStr">
        <is>
          <t>File the formal no-bid record (DOCX pending)</t>
        </is>
      </c>
      <c r="G6" s="115" t="inlineStr">
        <is>
          <t>Khaalis Wooden</t>
        </is>
      </c>
      <c r="H6" s="115" t="n"/>
      <c r="I6" s="115" t="inlineStr">
        <is>
          <t>Broadband infrastructure buildout for rural utilities.</t>
        </is>
      </c>
      <c r="J6" s="115" t="n"/>
      <c r="K6" s="115" t="n"/>
      <c r="L6" s="115" t="n"/>
      <c r="M6" s="115" t="n"/>
      <c r="N6" s="115" t="n"/>
      <c r="O6" s="115" t="n"/>
    </row>
    <row r="7">
      <c r="A7" s="115" t="inlineStr">
        <is>
          <t>OPP-020</t>
        </is>
      </c>
      <c r="B7" s="115" t="inlineStr">
        <is>
          <t>HRSA Rural Residency Planning &amp; Development</t>
        </is>
      </c>
      <c r="C7" s="115" t="inlineStr">
        <is>
          <t>Not pursuing</t>
        </is>
      </c>
      <c r="D7" s="115" t="inlineStr">
        <is>
          <t>N/A</t>
        </is>
      </c>
      <c r="E7" s="120" t="n"/>
      <c r="F7" s="115" t="inlineStr">
        <is>
          <t>File the formal no-bid DOCX; track FY26 awardees for downstream EHR/telehealth sub plays</t>
        </is>
      </c>
      <c r="G7" s="115" t="inlineStr">
        <is>
          <t>Khaalis Wooden</t>
        </is>
      </c>
      <c r="H7" s="115" t="n"/>
      <c r="I7" s="115" t="inlineStr">
        <is>
          <t>Grant program funding rural residency programs rather than IT vendors.</t>
        </is>
      </c>
      <c r="J7" s="115" t="n"/>
      <c r="K7" s="115" t="n"/>
      <c r="L7" s="115" t="n"/>
      <c r="M7" s="115" t="n"/>
      <c r="N7" s="115" t="n"/>
      <c r="O7" s="115" t="n"/>
    </row>
    <row r="8">
      <c r="A8" s="115" t="inlineStr">
        <is>
          <t>OPP-021</t>
        </is>
      </c>
      <c r="B8" s="115" t="inlineStr">
        <is>
          <t>VA NEDIIS (36C10B26Q0078)</t>
        </is>
      </c>
      <c r="C8" s="115" t="inlineStr">
        <is>
          <t>Not pursuing</t>
        </is>
      </c>
      <c r="D8" s="115" t="inlineStr">
        <is>
          <t>N/A</t>
        </is>
      </c>
      <c r="E8" s="120" t="n"/>
      <c r="F8" s="115" t="inlineStr">
        <is>
          <t>Watch GSA Alliant 3 SDVOSB pool finalization</t>
        </is>
      </c>
      <c r="G8" s="115" t="inlineStr">
        <is>
          <t>Khaalis Wooden</t>
        </is>
      </c>
      <c r="H8" s="115" t="n"/>
      <c r="I8" s="115" t="inlineStr">
        <is>
          <t>VA OIT support services; access gated by the T4NG vehicle, which is closed.</t>
        </is>
      </c>
      <c r="J8" s="115" t="n"/>
      <c r="K8" s="115" t="n"/>
      <c r="L8" s="115" t="inlineStr">
        <is>
          <t>150-FTE past-performance floor</t>
        </is>
      </c>
      <c r="M8" s="115" t="n"/>
      <c r="N8" s="115" t="n"/>
      <c r="O8" s="115" t="n"/>
    </row>
    <row r="9">
      <c r="A9" s="115" t="inlineStr">
        <is>
          <t>OPP-022</t>
        </is>
      </c>
      <c r="B9" s="115" t="inlineStr">
        <is>
          <t>SENTRY (CB26-RFQ0012) — CBO IT Support BPA, SMA 2 Cloud Service Support (J4 + J5)</t>
        </is>
      </c>
      <c r="C9" s="115" t="inlineStr">
        <is>
          <t>Not pursuing</t>
        </is>
      </c>
      <c r="D9" s="115" t="inlineStr">
        <is>
          <t>Teaming declined</t>
        </is>
      </c>
      <c r="E9" s="120" t="n">
        <v>46244</v>
      </c>
      <c r="F9" s="115" t="inlineStr">
        <is>
          <t>Redirect the prime relationship to smaller set-aside RFQs/RFPs by 8/31</t>
        </is>
      </c>
      <c r="G9" s="115" t="inlineStr">
        <is>
          <t>Khaalis Wooden</t>
        </is>
      </c>
      <c r="H9" s="115" t="n"/>
      <c r="I9" s="115" t="inlineStr">
        <is>
          <t>Cloud service support (J4 + J5) under Service Management Area 2 of the CBO IT Support BPA.</t>
        </is>
      </c>
      <c r="J9" s="115" t="inlineStr">
        <is>
          <t>Cloud service support</t>
        </is>
      </c>
      <c r="K9" s="115" t="n"/>
      <c r="L9" s="115" t="n"/>
      <c r="M9" s="115" t="n"/>
      <c r="N9" s="115" t="inlineStr">
        <is>
          <t>5-year BPA</t>
        </is>
      </c>
      <c r="O9" s="115" t="n"/>
    </row>
    <row r="10">
      <c r="A10" s="115" t="inlineStr">
        <is>
          <t>OPP-023</t>
        </is>
      </c>
      <c r="B10" s="115" t="inlineStr">
        <is>
          <t>IHS WebEHRS 2027-2032 (SS75H70126R00050) — RFI Response</t>
        </is>
      </c>
      <c r="C10" s="115" t="inlineStr">
        <is>
          <t>Sub</t>
        </is>
      </c>
      <c r="D10" s="115" t="inlineStr">
        <is>
          <t>Partner needed</t>
        </is>
      </c>
      <c r="E10" s="120" t="n"/>
      <c r="F10" s="115" t="inlineStr">
        <is>
          <t>Provide a services-only ROM once the platform baseline and teaming are defined</t>
        </is>
      </c>
      <c r="G10" s="115" t="inlineStr">
        <is>
          <t>Khaalis Wooden</t>
        </is>
      </c>
      <c r="H10" s="115" t="inlineStr">
        <is>
          <t>Integration and custom-build teammate to a platform vendor — services depth with no COTS product conflict.</t>
        </is>
      </c>
      <c r="I10" s="115" t="inlineStr">
        <is>
          <t>Custom RRM engine and historical reporting for the IHS Web-based Environmental Health Reporting System, with IHS Standard Code Book integration, FDA 2022 Food Code Annex 7 Form 3a e-inspection forms (web + offline), legacy migration and UAT, and help-desk/O&amp;M.</t>
        </is>
      </c>
      <c r="J10" s="115" t="inlineStr">
        <is>
          <t>Custom RRM engine + historical reporting; IHS Standard Code Book integration; Offline-capable web inspection forms; Legacy data migration + UAT; Standards-based APIs / data export; Help desk + O&amp;M</t>
        </is>
      </c>
      <c r="K10" s="115" t="n"/>
      <c r="L10" s="115" t="inlineStr">
        <is>
          <t>ATO; FedRAMP; SSO / MFA / PIV; RBAC + audit logging; TAA; Section 889</t>
        </is>
      </c>
      <c r="M10" s="115" t="n"/>
      <c r="N10" s="115" t="inlineStr">
        <is>
          <t>2027–2032</t>
        </is>
      </c>
      <c r="O10" s="115" t="n"/>
    </row>
    <row r="11">
      <c r="A11" s="115" t="inlineStr">
        <is>
          <t>OPP-024</t>
        </is>
      </c>
      <c r="B11" s="115" t="inlineStr">
        <is>
          <t>WA HCA FSIPAP (RFI 2026HCA13) — Federal &amp; State Interoperability and Prior Authorization Project</t>
        </is>
      </c>
      <c r="C11" s="115" t="inlineStr">
        <is>
          <t>Prime</t>
        </is>
      </c>
      <c r="D11" s="115" t="inlineStr">
        <is>
          <t>Solo</t>
        </is>
      </c>
      <c r="E11" s="120" t="n">
        <v>46260</v>
      </c>
      <c r="F11" s="115" t="inlineStr">
        <is>
          <t>Work open next steps #14–19 on the Actions tab; re-score at RFP release (expected Q4 2026 / Q1 2027)</t>
        </is>
      </c>
      <c r="G11" s="115" t="inlineStr">
        <is>
          <t>Khaalis Wooden</t>
        </is>
      </c>
      <c r="H11" s="115" t="inlineStr">
        <is>
          <t>Posture B, PA-workflow-complete (CRD + DTR approach + PAS) leading with policy transformation as the discriminator.</t>
        </is>
      </c>
      <c r="I11" s="115" t="inlineStr">
        <is>
          <t>FHIR-native prior-authorization interoperability for Medicaid/CHIP fee-for-service under CMS-0057-F: CRD, a DTR approach, and PAS workflow, plus transformation of roughly 760 prior-authorization policies (largest guide 338pp / 153 PA policies) into executable rules. Vendor-hosted cloud-native. FHIR-native throughout — no X12 278.</t>
        </is>
      </c>
      <c r="J11" s="115" t="inlineStr">
        <is>
          <t>FHIR — Da Vinci CRD + PAS; DTR approach; Prior-authorization policy transformation; Cloud-native vendor-hosted delivery; Data engineering</t>
        </is>
      </c>
      <c r="K11" s="115" t="n"/>
      <c r="L11" s="115" t="inlineStr">
        <is>
          <t>SOC 2 — not hard-mandated (Q&amp;A #42); Cyber liability — up to $10M may be required for high-risk data; Possible minimum-revenue rule (Q&amp;A #73)</t>
        </is>
      </c>
      <c r="M11" s="115" t="inlineStr">
        <is>
          <t>Washington State (SLED); vendor-hosted cloud</t>
        </is>
      </c>
      <c r="N11" s="115" t="inlineStr">
        <is>
          <t>Vendor onboard ~Q1 2027; full compliance 01/01/2028</t>
        </is>
      </c>
      <c r="O11" s="115" t="inlineStr">
        <is>
          <t>Cyber liability held is $6M against a possible $10M requirement; minimum-revenue rule unresolved.</t>
        </is>
      </c>
    </row>
    <row r="12">
      <c r="A12" s="115" t="inlineStr">
        <is>
          <t>OPP-025</t>
        </is>
      </c>
      <c r="B12" s="115" t="inlineStr">
        <is>
          <t>WA DRS E-File Tax Reporting (RFP 26-03)</t>
        </is>
      </c>
      <c r="C12" s="115" t="inlineStr">
        <is>
          <t>Not pursuing</t>
        </is>
      </c>
      <c r="D12" s="115" t="inlineStr">
        <is>
          <t>N/A</t>
        </is>
      </c>
      <c r="E12" s="120" t="n"/>
      <c r="F12" s="115" t="inlineStr">
        <is>
          <t>None — Gate 1 fail recorded 7/10/26</t>
        </is>
      </c>
      <c r="G12" s="115" t="inlineStr">
        <is>
          <t>Khaalis Wooden</t>
        </is>
      </c>
      <c r="H12" s="115" t="n"/>
      <c r="I12" s="115" t="inlineStr">
        <is>
          <t>Read-only e-file transmission of tax reporting data — no meaningful build or ETL scope, LPTA in substance.</t>
        </is>
      </c>
      <c r="J12" s="115" t="n"/>
      <c r="K12" s="115" t="n"/>
      <c r="L12" s="115" t="inlineStr">
        <is>
          <t>IRS-authorized e-file transmission provider with a 5-year production track record; IRS Pub 1075 FTI regime; SOC 2; Heavy insurance minimums</t>
        </is>
      </c>
      <c r="M12" s="115" t="n"/>
      <c r="N12" s="115" t="n"/>
      <c r="O12" s="115" t="n"/>
    </row>
    <row r="13">
      <c r="A13" s="115" t="inlineStr">
        <is>
          <t>OPP-026</t>
        </is>
      </c>
      <c r="B13" s="115" t="inlineStr">
        <is>
          <t>Army Enterprise IT Support — OTSG/MEDCOM (W9124J-27-R-ENTR)</t>
        </is>
      </c>
      <c r="C13" s="115" t="inlineStr">
        <is>
          <t>Not pursuing</t>
        </is>
      </c>
      <c r="D13" s="115" t="inlineStr">
        <is>
          <t>Teaming declined</t>
        </is>
      </c>
      <c r="E13" s="120" t="n"/>
      <c r="F13" s="115" t="inlineStr">
        <is>
          <t>Redirect to fit-lane federal health IT (VA OIT, HHS, CMS)</t>
        </is>
      </c>
      <c r="G13" s="115" t="inlineStr">
        <is>
          <t>Khaalis Wooden</t>
        </is>
      </c>
      <c r="H13" s="115" t="n"/>
      <c r="I13" s="115" t="inlineStr">
        <is>
          <t>Pure O&amp;M help-desk support under NAICS 541513 with contractor AI explicitly excluded (Q&amp;A #62). The OTSG/MEDCOM label carries no health-IT delivery scope.</t>
        </is>
      </c>
      <c r="J13" s="115" t="n"/>
      <c r="K13" s="115" t="n"/>
      <c r="L13" s="115" t="inlineStr">
        <is>
          <t>Secret facility clearance + cleared bench at submission, subs included; CMMI-SVC Level 3</t>
        </is>
      </c>
      <c r="M13" s="115" t="n"/>
      <c r="N13" s="115" t="inlineStr">
        <is>
          <t>~5 years (~$9M est.)</t>
        </is>
      </c>
      <c r="O13" s="115" t="n"/>
    </row>
    <row r="14">
      <c r="A14" s="115" t="inlineStr">
        <is>
          <t>OPP-027</t>
        </is>
      </c>
      <c r="B14" s="115" t="inlineStr">
        <is>
          <t>DoS BASE — Boundaries &amp; Sovereignty Encyclopedia (19AQMM26N0296)</t>
        </is>
      </c>
      <c r="C14" s="115" t="inlineStr">
        <is>
          <t>Not pursuing</t>
        </is>
      </c>
      <c r="D14" s="115" t="inlineStr">
        <is>
          <t>N/A</t>
        </is>
      </c>
      <c r="E14" s="120" t="n">
        <v>46225</v>
      </c>
      <c r="F14" s="115" t="inlineStr">
        <is>
          <t>None — collapsed to a straight no-bid</t>
        </is>
      </c>
      <c r="G14" s="115" t="inlineStr">
        <is>
          <t>Khaalis Wooden</t>
        </is>
      </c>
      <c r="H14" s="115" t="n"/>
      <c r="I14" s="115" t="inlineStr">
        <is>
          <t>Boundaries and sovereignty encyclopedia — a geospatial content system. The conditional narrow-sub lane would have been portal O&amp;M, OCR-ETL, and secure hosting under a geospatial prime.</t>
        </is>
      </c>
      <c r="J14" s="115" t="inlineStr">
        <is>
          <t>Geospatial / GIS; OCR-ETL; Portal O&amp;M; Secure hosting</t>
        </is>
      </c>
      <c r="K14" s="115" t="n"/>
      <c r="L14" s="115" t="n"/>
      <c r="M14" s="115" t="n"/>
      <c r="N14" s="115" t="n"/>
      <c r="O14" s="115" t="inlineStr">
        <is>
          <t>Geospatial/GIS depth, boundary-domain past performance, and IC-grade hosting are not held; no geospatial prime surfaced before the ~7/15 window closed.</t>
        </is>
      </c>
    </row>
    <row r="15">
      <c r="A15" s="115" t="inlineStr">
        <is>
          <t>OPP-028</t>
        </is>
      </c>
      <c r="B15" s="115" t="inlineStr">
        <is>
          <t>MARFORRES AI Manpower &amp; Readiness (M6786126IMKMAI) — Sources Sought Response</t>
        </is>
      </c>
      <c r="C15" s="115" t="inlineStr">
        <is>
          <t>Prime</t>
        </is>
      </c>
      <c r="D15" s="115" t="inlineStr">
        <is>
          <t>Solo</t>
        </is>
      </c>
      <c r="E15" s="120" t="n">
        <v>46233</v>
      </c>
      <c r="F15" s="115" t="inlineStr">
        <is>
          <t>Monitor for the follow-on RFP</t>
        </is>
      </c>
      <c r="G15" s="115" t="inlineStr">
        <is>
          <t>Khaalis Wooden</t>
        </is>
      </c>
      <c r="H15" s="115" t="n"/>
      <c r="I15" s="115" t="inlineStr">
        <is>
          <t>AI-enabled manpower modeling, readiness analytics, and personnel allocation across the Individual Ready Reserve and Selected Marine Corps Reserve.</t>
        </is>
      </c>
      <c r="J15" s="115" t="inlineStr">
        <is>
          <t>AI/ML modeling; Readiness analytics; Personnel data integration</t>
        </is>
      </c>
      <c r="K15" s="115" t="n"/>
      <c r="L15" s="115" t="inlineStr">
        <is>
          <t>CUI handling — CUI notice on the solicitation</t>
        </is>
      </c>
      <c r="M15" s="115" t="n"/>
      <c r="N15" s="115" t="n"/>
      <c r="O15" s="115" t="n"/>
    </row>
    <row r="16">
      <c r="A16" s="115" t="inlineStr">
        <is>
          <t>OPP-029</t>
        </is>
      </c>
      <c r="B16" s="115" t="inlineStr">
        <is>
          <t>DHA ARMOR — Integrated Workforce &amp; Readiness Platform (ARMOR001) — RFI Response</t>
        </is>
      </c>
      <c r="C16" s="115" t="inlineStr">
        <is>
          <t>Prime</t>
        </is>
      </c>
      <c r="D16" s="115" t="inlineStr">
        <is>
          <t>Solo</t>
        </is>
      </c>
      <c r="E16" s="120" t="n">
        <v>46225</v>
      </c>
      <c r="F16" s="115" t="inlineStr">
        <is>
          <t>Run the scoring engine on the anticipated RFP — pipeline priority</t>
        </is>
      </c>
      <c r="G16" s="115" t="inlineStr">
        <is>
          <t>Khaalis Wooden</t>
        </is>
      </c>
      <c r="H16" s="115" t="inlineStr">
        <is>
          <t>Tier 1 fit — healthcare IT with EHR-integration and explainable-AI depth.</t>
        </is>
      </c>
      <c r="I16" s="115" t="inlineStr">
        <is>
          <t>Integrated workforce and readiness platform for DHA. All five RFI use cases addressed (all-or-nothing per §3.1), centred on MHS GENESIS / EHR integration and explainable AI.</t>
        </is>
      </c>
      <c r="J16" s="115" t="inlineStr">
        <is>
          <t>MHS GENESIS / EHR integration; Explainable AI; Workforce + readiness analytics</t>
        </is>
      </c>
      <c r="K16" s="115" t="n"/>
      <c r="L16" s="115" t="inlineStr">
        <is>
          <t>§3.5 OCI access requirement</t>
        </is>
      </c>
      <c r="M16" s="115" t="n"/>
      <c r="N16" s="115" t="n"/>
      <c r="O16" s="115" t="n"/>
    </row>
    <row r="17">
      <c r="A17" s="115" t="inlineStr">
        <is>
          <t>OPP-030</t>
        </is>
      </c>
      <c r="B17" s="115" t="inlineStr">
        <is>
          <t>USGS NEIC AI/ML &amp; Data Streaming Development (140G0226Q0049) — Sources Sought Response</t>
        </is>
      </c>
      <c r="C17" s="115" t="inlineStr">
        <is>
          <t>Prime</t>
        </is>
      </c>
      <c r="D17" s="115" t="inlineStr">
        <is>
          <t>Solo</t>
        </is>
      </c>
      <c r="E17" s="120" t="n">
        <v>46227</v>
      </c>
      <c r="F17" s="115" t="inlineStr">
        <is>
          <t>Score via the capture engine before any RFP-stage spend</t>
        </is>
      </c>
      <c r="G17" s="115" t="inlineStr">
        <is>
          <t>Khaalis Wooden</t>
        </is>
      </c>
      <c r="H17" s="115" t="inlineStr">
        <is>
          <t>Candor positioning — transferable production AI and data engineering, with no seismology claims made.</t>
        </is>
      </c>
      <c r="I17" s="115" t="inlineStr">
        <is>
          <t>Real-time seismic data streaming and event detection for the National Earthquake Information Center, across five software-development task areas.</t>
        </is>
      </c>
      <c r="J17" s="115" t="inlineStr">
        <is>
          <t>Real-time data streaming; AI/ML detection; Production data engineering; Software development</t>
        </is>
      </c>
      <c r="K17" s="115" t="n"/>
      <c r="L17" s="115" t="n"/>
      <c r="M17" s="115" t="n"/>
      <c r="N17" s="115" t="n"/>
      <c r="O17" s="115" t="inlineStr">
        <is>
          <t>No seismology domain depth on the bench — deliberately not claimed.</t>
        </is>
      </c>
    </row>
    <row r="18">
      <c r="A18" s="115" t="inlineStr">
        <is>
          <t>OPP-031</t>
        </is>
      </c>
      <c r="B18" s="115" t="inlineStr">
        <is>
          <t>CMS ICAT RFI (270196) — HHS-RADV Intelligent Coding Assistance Tool</t>
        </is>
      </c>
      <c r="C18" s="115" t="inlineStr">
        <is>
          <t>Sub</t>
        </is>
      </c>
      <c r="D18" s="115" t="inlineStr">
        <is>
          <t>NDA executed</t>
        </is>
      </c>
      <c r="E18" s="120" t="n">
        <v>46254</v>
      </c>
      <c r="F18" s="115" t="inlineStr">
        <is>
          <t>Monitor CMS for ICAT disposition or a follow-on RFP (re-check 9/19)</t>
        </is>
      </c>
      <c r="G18" s="115" t="inlineStr">
        <is>
          <t>Khaalis Wooden</t>
        </is>
      </c>
      <c r="H18" s="115" t="inlineStr">
        <is>
          <t>A conflict-free team against a structurally conflicted incumbent.</t>
        </is>
      </c>
      <c r="I18" s="115" t="inlineStr">
        <is>
          <t>Intelligent coding assistance for HHS-RADV risk-adjustment data validation. per-question limit 3,000 characters.</t>
        </is>
      </c>
      <c r="J18" s="115" t="inlineStr">
        <is>
          <t>Medical coding automation; Risk-adjustment data validation</t>
        </is>
      </c>
      <c r="K18" s="115" t="n"/>
      <c r="L18" s="115" t="inlineStr">
        <is>
          <t>Team-wide COI attestation; NDA</t>
        </is>
      </c>
      <c r="M18" s="115" t="n"/>
      <c r="N18" s="115" t="n"/>
      <c r="O18" s="115" t="n"/>
    </row>
    <row r="19">
      <c r="A19" s="115" t="inlineStr">
        <is>
          <t>OPP-032</t>
        </is>
      </c>
      <c r="B19" s="115" t="inlineStr">
        <is>
          <t>NIST QNAP (RFQ1816699 / NB676020-26-01781) — quantum sub posture</t>
        </is>
      </c>
      <c r="C19" s="115" t="inlineStr">
        <is>
          <t>Sub</t>
        </is>
      </c>
      <c r="D19" s="115" t="inlineStr">
        <is>
          <t>Partner identified</t>
        </is>
      </c>
      <c r="E19" s="120" t="n"/>
      <c r="F19" s="115" t="inlineStr">
        <is>
          <t>Maintain the workshare dialogue; no action until the award notice</t>
        </is>
      </c>
      <c r="G19" s="115" t="inlineStr">
        <is>
          <t>Khaalis Wooden</t>
        </is>
      </c>
      <c r="H19" s="115" t="n"/>
      <c r="I19" s="115" t="inlineStr">
        <is>
          <t>Quantum technical support delivered as workshare under a prime's pending award. Solicitation closed 7/1/26 — capture framing is moot; the live conversation is delivery workshare only.</t>
        </is>
      </c>
      <c r="J19" s="115" t="n"/>
      <c r="K19" s="115" t="n"/>
      <c r="L19" s="115" t="n"/>
      <c r="M19" s="115" t="n"/>
      <c r="N19" s="115" t="n"/>
      <c r="O19" s="115" t="n"/>
    </row>
    <row r="20">
      <c r="A20" s="115" t="inlineStr">
        <is>
          <t>OPP-033</t>
        </is>
      </c>
      <c r="B20" s="115" t="inlineStr">
        <is>
          <t>WA DES 13225 — CAT Tool Contracts</t>
        </is>
      </c>
      <c r="C20" s="115" t="inlineStr">
        <is>
          <t>Not pursuing</t>
        </is>
      </c>
      <c r="D20" s="115" t="inlineStr">
        <is>
          <t>Teaming declined</t>
        </is>
      </c>
      <c r="E20" s="120" t="n"/>
      <c r="F20" s="115" t="inlineStr">
        <is>
          <t>None — WA purchaser intel folded into the FSIPAP account map</t>
        </is>
      </c>
      <c r="G20" s="115" t="inlineStr">
        <is>
          <t>Khaalis Wooden</t>
        </is>
      </c>
      <c r="H20" s="115" t="n"/>
      <c r="I20" s="115" t="inlineStr">
        <is>
          <t>Proprietary SaaS computer-assisted-translation product with a mandatory live product demo and ~76% of points on license pricing — a product buy, not integration work.</t>
        </is>
      </c>
      <c r="J20" s="115" t="n"/>
      <c r="K20" s="115" t="n"/>
      <c r="L20" s="115" t="inlineStr">
        <is>
          <t>WA Small Business / VOSB reserved-lane status</t>
        </is>
      </c>
      <c r="M20" s="115" t="n"/>
      <c r="N20" s="115" t="n"/>
      <c r="O20" s="115" t="inlineStr">
        <is>
          <t>WA Small Business / VOSB reserved-lane status not held.</t>
        </is>
      </c>
    </row>
    <row r="21">
      <c r="A21" s="115" t="inlineStr">
        <is>
          <t>OPP-034</t>
        </is>
      </c>
      <c r="B21" s="115" t="inlineStr">
        <is>
          <t>VA Digital GI Bill RFI (36C10D26Q0186)</t>
        </is>
      </c>
      <c r="C21" s="115" t="inlineStr">
        <is>
          <t>Sub</t>
        </is>
      </c>
      <c r="D21" s="115" t="inlineStr">
        <is>
          <t>In discussion</t>
        </is>
      </c>
      <c r="E21" s="120" t="n">
        <v>46276</v>
      </c>
      <c r="F21" s="115" t="inlineStr">
        <is>
          <t>Tech input to the prime by 9/4; RFI due 9/11/26 10:00 ET</t>
        </is>
      </c>
      <c r="G21" s="115" t="inlineStr">
        <is>
          <t>AJ</t>
        </is>
      </c>
      <c r="H21" s="115" t="n"/>
      <c r="I21" s="115" t="inlineStr">
        <is>
          <t>VA benefits-system modernization at RFI stage.</t>
        </is>
      </c>
      <c r="J21" s="115" t="n"/>
      <c r="K21" s="115" t="n"/>
      <c r="L21" s="115" t="n"/>
      <c r="M21" s="115" t="n"/>
      <c r="N21" s="115" t="n"/>
      <c r="O21" s="115" t="inlineStr">
        <is>
          <t>Citable past performance is $0 until a workshare floor and reference rights are negotiated.</t>
        </is>
      </c>
    </row>
    <row r="22">
      <c r="A22" s="115" t="inlineStr">
        <is>
          <t>OPP-035</t>
        </is>
      </c>
      <c r="B22" s="115" t="inlineStr">
        <is>
          <t>VA PATS-R (36C10B26Q0662) — Patient Advocate Tracking System-Replacement</t>
        </is>
      </c>
      <c r="C22" s="115" t="inlineStr">
        <is>
          <t>Sub</t>
        </is>
      </c>
      <c r="D22" s="115" t="inlineStr">
        <is>
          <t>In discussion</t>
        </is>
      </c>
      <c r="E22" s="120" t="n"/>
      <c r="F22" s="115" t="inlineStr">
        <is>
          <t>SAM alert set; re-score at strategy release</t>
        </is>
      </c>
      <c r="G22" s="115" t="inlineStr">
        <is>
          <t>AJ</t>
        </is>
      </c>
      <c r="H22" s="115" t="n"/>
      <c r="I22" s="115" t="inlineStr">
        <is>
          <t>Replacement of the VA Patient Advocate Tracking System. Same Gate 0 → NDA → teaming pre-conditions as the Digital GI Bill row.</t>
        </is>
      </c>
      <c r="J22" s="115" t="n"/>
      <c r="K22" s="115" t="n"/>
      <c r="L22" s="115" t="n"/>
      <c r="M22" s="115" t="n"/>
      <c r="N22" s="115" t="n"/>
      <c r="O22" s="115" t="inlineStr">
        <is>
          <t>Citable past performance is $0 until a workshare floor and reference rights are negotiated.</t>
        </is>
      </c>
    </row>
    <row r="23">
      <c r="A23" s="115" t="inlineStr">
        <is>
          <t>OPP-036</t>
        </is>
      </c>
      <c r="B23" s="115" t="inlineStr">
        <is>
          <t>CDC KMTSS (SSN26-7571-CDC96901) — Knowledge Mgmt Technical Support Services</t>
        </is>
      </c>
      <c r="C23" s="115" t="inlineStr">
        <is>
          <t>Not pursuing</t>
        </is>
      </c>
      <c r="D23" s="115" t="inlineStr">
        <is>
          <t>Partner needed</t>
        </is>
      </c>
      <c r="E23" s="120" t="n"/>
      <c r="F23" s="115" t="inlineStr">
        <is>
          <t>Closed unless an ECM anchor is fielded</t>
        </is>
      </c>
      <c r="G23" s="115" t="inlineStr">
        <is>
          <t>Khaalis Wooden</t>
        </is>
      </c>
      <c r="H23" s="115" t="n"/>
      <c r="I23" s="115" t="inlineStr">
        <is>
          <t>Knowledge-management technical support. Viable only as a niche sub behind an enterprise content management anchor.</t>
        </is>
      </c>
      <c r="J23" s="115" t="inlineStr">
        <is>
          <t>Enterprise content management (ECM); Knowledge management</t>
        </is>
      </c>
      <c r="K23" s="115" t="n"/>
      <c r="L23" s="115" t="n"/>
      <c r="M23" s="115" t="n"/>
      <c r="N23" s="115" t="n"/>
      <c r="O23" s="115" t="inlineStr">
        <is>
          <t>No ECM anchor — the pursuit reopens only if the partner channel fields one.</t>
        </is>
      </c>
    </row>
    <row r="24">
      <c r="A24" s="115" t="inlineStr">
        <is>
          <t>OPP-037</t>
        </is>
      </c>
      <c r="B24" s="115" t="inlineStr">
        <is>
          <t>VA BioDose 23.x</t>
        </is>
      </c>
      <c r="C24" s="115" t="inlineStr">
        <is>
          <t>Not pursuing</t>
        </is>
      </c>
      <c r="D24" s="115" t="inlineStr">
        <is>
          <t>N/A</t>
        </is>
      </c>
      <c r="E24" s="120" t="n"/>
      <c r="F24" s="115" t="inlineStr">
        <is>
          <t>None — declined at Gate 1 with a Digital GI Bill redirect</t>
        </is>
      </c>
      <c r="G24" s="115" t="inlineStr">
        <is>
          <t>Khaalis Wooden</t>
        </is>
      </c>
      <c r="H24" s="115" t="n"/>
      <c r="I24" s="115" t="n"/>
      <c r="J24" s="115" t="n"/>
      <c r="K24" s="115" t="n"/>
      <c r="L24" s="115" t="n"/>
      <c r="M24" s="115" t="n"/>
      <c r="N24" s="115" t="n"/>
      <c r="O24" s="115" t="n"/>
    </row>
    <row r="25">
      <c r="A25" s="115" t="inlineStr">
        <is>
          <t>OPP-038</t>
        </is>
      </c>
      <c r="B25" s="115" t="inlineStr">
        <is>
          <t>SSA Enterprise Artificial Intelligence (AI) Strategy (28321326RI0000041) - RFI, market research only</t>
        </is>
      </c>
      <c r="C25" s="115" t="inlineStr">
        <is>
          <t>Prime</t>
        </is>
      </c>
      <c r="D25" s="115" t="inlineStr">
        <is>
          <t>Solo</t>
        </is>
      </c>
      <c r="E25" s="120" t="n">
        <v>46293</v>
      </c>
      <c r="F25" s="115" t="inlineStr">
        <is>
          <t>File the response as a reusable agency-AI-RFI template (target 9/29)</t>
        </is>
      </c>
      <c r="G25" s="115" t="inlineStr">
        <is>
          <t>Khaalis Wooden</t>
        </is>
      </c>
      <c r="H25" s="115" t="n"/>
      <c r="I25" s="115" t="inlineStr">
        <is>
          <t>Enterprise AI strategy market research for the SSA Office of the CIO — a 6-page RFI response on enterprise AI architecture and adoption. Market research only; no award.</t>
        </is>
      </c>
      <c r="J25" s="115" t="n"/>
      <c r="K25" s="115" t="n"/>
      <c r="L25" s="115" t="inlineStr">
        <is>
          <t>SSA may publish responses — treat the submission as public</t>
        </is>
      </c>
      <c r="M25" s="115" t="n"/>
      <c r="N25" s="115" t="n"/>
      <c r="O25" s="115" t="n"/>
    </row>
    <row r="26">
      <c r="A26" s="115" t="inlineStr">
        <is>
          <t>OPP-039</t>
        </is>
      </c>
      <c r="B26" s="115" t="inlineStr">
        <is>
          <t>AI Technologies for Procurement Modernization (CSO General Solicitation)</t>
        </is>
      </c>
      <c r="C26" s="115" t="inlineStr">
        <is>
          <t>Not pursuing</t>
        </is>
      </c>
      <c r="D26" s="115" t="inlineStr">
        <is>
          <t>Teaming declined</t>
        </is>
      </c>
      <c r="E26" s="120" t="n"/>
      <c r="F26" s="115" t="inlineStr">
        <is>
          <t>Re-check the SAM notice monthly through 9/10/26 for a services-scoped topic call</t>
        </is>
      </c>
      <c r="G26" s="115" t="inlineStr">
        <is>
          <t>Khaalis Wooden</t>
        </is>
      </c>
      <c r="H26" s="115" t="n"/>
      <c r="I26" s="115" t="inlineStr">
        <is>
          <t>Commercial-item buy of a production-ready acquisition-technology product for a centralized OCPO tool portfolio — a product purchase, not integration services.</t>
        </is>
      </c>
      <c r="J26" s="115" t="n"/>
      <c r="K26" s="115" t="n"/>
      <c r="L26" s="115" t="n"/>
      <c r="M26" s="115" t="inlineStr">
        <is>
          <t>Springfield, VA</t>
        </is>
      </c>
      <c r="N26" s="115" t="n"/>
      <c r="O26" s="115" t="inlineStr">
        <is>
          <t>No federal acquisition-domain past-performance analog and no productized tool to demonstrate.</t>
        </is>
      </c>
    </row>
    <row r="27">
      <c r="A27" s="115" t="inlineStr">
        <is>
          <t>OPP-040</t>
        </is>
      </c>
      <c r="B27" s="115" t="inlineStr">
        <is>
          <t>DoWEA/DoDEA Data, Analytics &amp; AI Modernization (HE125426RE037)</t>
        </is>
      </c>
      <c r="C27" s="115" t="inlineStr">
        <is>
          <t>Undecided</t>
        </is>
      </c>
      <c r="D27" s="115" t="n"/>
      <c r="E27" s="120" t="n"/>
      <c r="F27" s="115" t="inlineStr">
        <is>
          <t>Re-check 9/15/26 for re-issue; monitor HE125426RE037 and sources-sought DoWEA-PSN-26-002</t>
        </is>
      </c>
      <c r="G27" s="115" t="inlineStr">
        <is>
          <t>Khaalis Wooden</t>
        </is>
      </c>
      <c r="H27" s="115" t="n"/>
      <c r="I27" s="115" t="inlineStr">
        <is>
          <t>Single-award FFP IDIQ for data, analytics, and AI modernization. Task Order 1 'Foundational Services' is CUI//SP-SSEL and runs concurrent with award at roughly 396 person-months/year (about 33 FTE).</t>
        </is>
      </c>
      <c r="J27" s="115" t="inlineStr">
        <is>
          <t>Data engineering + analytics; AI/ML modernization; Ed-Fi / K-12 data standards; Microsoft Fabric</t>
        </is>
      </c>
      <c r="K27" s="115" t="n"/>
      <c r="L27" s="115" t="inlineStr">
        <is>
          <t>CMMC — DFARS 7021 Level 1 vs PWS 3.8 CUI Level 2 (conflicting in the solicitation); CUI//SP-SSEL handling</t>
        </is>
      </c>
      <c r="M27" s="115" t="n"/>
      <c r="N27" s="115" t="inlineStr">
        <is>
          <t>Base + 4 option years + 6 months</t>
        </is>
      </c>
      <c r="O27" s="115" t="inlineStr">
        <is>
          <t>About 33 FTE required against a 3-person bench already committed to Montana; no DoD, K-12, Ed-Fi, or Fabric past performance.</t>
        </is>
      </c>
    </row>
    <row r="28">
      <c r="A28" s="115" t="inlineStr">
        <is>
          <t>OPP-041</t>
        </is>
      </c>
      <c r="B28" s="115" t="inlineStr">
        <is>
          <t>AI-Powered Pre-Plan Check (AIP-PPC) Assistant (RAMP 222114 / RFP 2025AIP007)</t>
        </is>
      </c>
      <c r="C28" s="115" t="inlineStr">
        <is>
          <t>Not pursuing</t>
        </is>
      </c>
      <c r="D28" s="115" t="inlineStr">
        <is>
          <t>N/A</t>
        </is>
      </c>
      <c r="E28" s="120" t="n">
        <v>46282</v>
      </c>
      <c r="F28" s="115" t="inlineStr">
        <is>
          <t>Review 10/15/26 — reopens only if reissued as integration/implementation services</t>
        </is>
      </c>
      <c r="G28" s="115" t="inlineStr">
        <is>
          <t>Khaalis Wooden</t>
        </is>
      </c>
      <c r="H28" s="115" t="n"/>
      <c r="I28" s="115" t="inlineStr">
        <is>
          <t>AI-powered pre-plan-check assistant for building-permit plan review — a vendor-hosted product buy.</t>
        </is>
      </c>
      <c r="J28" s="115" t="n"/>
      <c r="K28" s="115" t="n"/>
      <c r="L28" s="115" t="n"/>
      <c r="M28" s="115" t="n"/>
      <c r="N28" s="115" t="n"/>
      <c r="O28" s="115" t="inlineStr">
        <is>
          <t>No plan-review or building-code past performance.</t>
        </is>
      </c>
    </row>
    <row r="29">
      <c r="A29" s="115" t="inlineStr">
        <is>
          <t>OPP-042</t>
        </is>
      </c>
      <c r="B29" s="115" t="inlineStr">
        <is>
          <t>Region 4 ESC RFP 26-14 — Artificial Intelligence and Total Cloud Solutions</t>
        </is>
      </c>
      <c r="C29" s="115" t="inlineStr">
        <is>
          <t>Not pursuing</t>
        </is>
      </c>
      <c r="D29" s="115" t="inlineStr">
        <is>
          <t>Partner needed</t>
        </is>
      </c>
      <c r="E29" s="120" t="n">
        <v>46273</v>
      </c>
      <c r="F29" s="115" t="inlineStr">
        <is>
          <t>Pull the 26-14 award list at board publication (target 12/15/26) and screen awardees for authorized-partner admission</t>
        </is>
      </c>
      <c r="G29" s="115" t="inlineStr">
        <is>
          <t>Khaalis Wooden</t>
        </is>
      </c>
      <c r="H29" s="115" t="n"/>
      <c r="I29" s="115" t="inlineStr">
        <is>
          <t>Cooperative catalog / price-list vehicle for AI and cloud solutions — a catalog buy requiring manufacturer LOAs and distribution margin.</t>
        </is>
      </c>
      <c r="J29" s="115" t="n"/>
      <c r="K29" s="115" t="n"/>
      <c r="L29" s="115" t="inlineStr">
        <is>
          <t>SOC 2 Type 2; FedRAMP / StateRAMP; K-12 student privacy (NY Ed Law 2-d, CA SOPIPA)</t>
        </is>
      </c>
      <c r="M29" s="115" t="n"/>
      <c r="N29" s="115" t="inlineStr">
        <is>
          <t>3 base + 2 option years</t>
        </is>
      </c>
      <c r="O29" s="115" t="inlineStr">
        <is>
          <t>No catalog, manufacturer LOAs, distribution margin, or national sales force. SOC 2 Type 2 absent and not remediable by 9/8/26; FedRAMP/StateRAMP not held; K-12 student-privacy posture unestablished.</t>
        </is>
      </c>
    </row>
  </sheetData>
  <mergeCells count="2">
    <mergeCell ref="A1:O1"/>
    <mergeCell ref="A2:O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J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51" min="1" max="1"/>
    <col width="26" customWidth="1" style="51" min="2" max="2"/>
    <col width="22" customWidth="1" style="51" min="3" max="3"/>
    <col width="14" customWidth="1" style="51" min="4" max="4"/>
    <col width="16" customWidth="1" style="51" min="5" max="5"/>
    <col width="14" customWidth="1" style="51" min="6" max="9"/>
    <col width="28" customWidth="1" style="51" min="10" max="10"/>
  </cols>
  <sheetData>
    <row r="1" ht="27.75" customHeight="1" s="52">
      <c r="A1" s="53" t="inlineStr">
        <is>
          <t xml:space="preserve">  ACTIVE PROJECTS  —  Post-award execution tracking</t>
        </is>
      </c>
    </row>
    <row r="2" ht="21.75" customHeight="1" s="52">
      <c r="A2" s="54" t="inlineStr">
        <is>
          <t xml:space="preserve">  Add a row when a contract is awarded. Status values: Active | Paused | Complete | Closeout.</t>
        </is>
      </c>
    </row>
    <row r="3"/>
    <row r="4" ht="30" customHeight="1" s="52">
      <c r="A4" s="64" t="inlineStr">
        <is>
          <t>Project ID</t>
        </is>
      </c>
      <c r="B4" s="64" t="inlineStr">
        <is>
          <t>Project Name</t>
        </is>
      </c>
      <c r="C4" s="64" t="inlineStr">
        <is>
          <t>Client</t>
        </is>
      </c>
      <c r="D4" s="64" t="inlineStr">
        <is>
          <t>Contract Type</t>
        </is>
      </c>
      <c r="E4" s="64" t="inlineStr">
        <is>
          <t>Value ($)</t>
        </is>
      </c>
      <c r="F4" s="64" t="inlineStr">
        <is>
          <t>Start Date</t>
        </is>
      </c>
      <c r="G4" s="64" t="inlineStr">
        <is>
          <t>End Date</t>
        </is>
      </c>
      <c r="H4" s="64" t="inlineStr">
        <is>
          <t>Status</t>
        </is>
      </c>
      <c r="I4" s="64" t="inlineStr">
        <is>
          <t>% Complete</t>
        </is>
      </c>
      <c r="J4" s="64" t="inlineStr">
        <is>
          <t>PM / Lead</t>
        </is>
      </c>
    </row>
    <row r="5" ht="15" customHeight="1" s="52">
      <c r="A5" s="100" t="n"/>
      <c r="B5" s="100" t="n"/>
      <c r="C5" s="100" t="n"/>
      <c r="D5" s="100" t="n"/>
      <c r="E5" s="101" t="n"/>
      <c r="F5" s="102" t="n"/>
      <c r="G5" s="102" t="n"/>
      <c r="H5" s="100" t="n"/>
      <c r="I5" s="103" t="n"/>
      <c r="J5" s="100" t="n"/>
    </row>
    <row r="6" ht="15" customHeight="1" s="52">
      <c r="A6" s="100" t="n"/>
      <c r="B6" s="100" t="n"/>
      <c r="C6" s="100" t="n"/>
      <c r="D6" s="100" t="n"/>
      <c r="E6" s="101" t="n"/>
      <c r="F6" s="102" t="n"/>
      <c r="G6" s="102" t="n"/>
      <c r="H6" s="100" t="n"/>
      <c r="I6" s="103" t="n"/>
      <c r="J6" s="100" t="n"/>
    </row>
    <row r="7" ht="15" customHeight="1" s="52">
      <c r="A7" s="100" t="n"/>
      <c r="B7" s="100" t="n"/>
      <c r="C7" s="100" t="n"/>
      <c r="D7" s="100" t="n"/>
      <c r="E7" s="101" t="n"/>
      <c r="F7" s="102" t="n"/>
      <c r="G7" s="102" t="n"/>
      <c r="H7" s="100" t="n"/>
      <c r="I7" s="103" t="n"/>
      <c r="J7" s="100" t="n"/>
    </row>
    <row r="8" ht="15" customHeight="1" s="52">
      <c r="A8" s="100" t="n"/>
      <c r="B8" s="100" t="n"/>
      <c r="C8" s="100" t="n"/>
      <c r="D8" s="100" t="n"/>
      <c r="E8" s="101" t="n"/>
      <c r="F8" s="102" t="n"/>
      <c r="G8" s="102" t="n"/>
      <c r="H8" s="100" t="n"/>
      <c r="I8" s="103" t="n"/>
      <c r="J8" s="100" t="n"/>
    </row>
    <row r="9" ht="15" customHeight="1" s="52">
      <c r="A9" s="100" t="n"/>
      <c r="B9" s="100" t="n"/>
      <c r="C9" s="100" t="n"/>
      <c r="D9" s="100" t="n"/>
      <c r="E9" s="101" t="n"/>
      <c r="F9" s="102" t="n"/>
      <c r="G9" s="102" t="n"/>
      <c r="H9" s="100" t="n"/>
      <c r="I9" s="103" t="n"/>
      <c r="J9" s="100" t="n"/>
    </row>
    <row r="10" ht="15" customHeight="1" s="52">
      <c r="A10" s="100" t="n"/>
      <c r="B10" s="100" t="n"/>
      <c r="C10" s="100" t="n"/>
      <c r="D10" s="100" t="n"/>
      <c r="E10" s="101" t="n"/>
      <c r="F10" s="102" t="n"/>
      <c r="G10" s="102" t="n"/>
      <c r="H10" s="100" t="n"/>
      <c r="I10" s="103" t="n"/>
      <c r="J10" s="100" t="n"/>
    </row>
    <row r="11" ht="15" customHeight="1" s="52">
      <c r="A11" s="100" t="n"/>
      <c r="B11" s="100" t="n"/>
      <c r="C11" s="100" t="n"/>
      <c r="D11" s="100" t="n"/>
      <c r="E11" s="101" t="n"/>
      <c r="F11" s="102" t="n"/>
      <c r="G11" s="102" t="n"/>
      <c r="H11" s="100" t="n"/>
      <c r="I11" s="103" t="n"/>
      <c r="J11" s="100" t="n"/>
    </row>
    <row r="12" ht="15" customHeight="1" s="52">
      <c r="A12" s="100" t="n"/>
      <c r="B12" s="100" t="n"/>
      <c r="C12" s="100" t="n"/>
      <c r="D12" s="100" t="n"/>
      <c r="E12" s="101" t="n"/>
      <c r="F12" s="102" t="n"/>
      <c r="G12" s="102" t="n"/>
      <c r="H12" s="100" t="n"/>
      <c r="I12" s="103" t="n"/>
      <c r="J12" s="100" t="n"/>
    </row>
    <row r="13" ht="15" customHeight="1" s="52">
      <c r="A13" s="100" t="n"/>
      <c r="B13" s="100" t="n"/>
      <c r="C13" s="100" t="n"/>
      <c r="D13" s="100" t="n"/>
      <c r="E13" s="101" t="n"/>
      <c r="F13" s="102" t="n"/>
      <c r="G13" s="102" t="n"/>
      <c r="H13" s="100" t="n"/>
      <c r="I13" s="103" t="n"/>
      <c r="J13" s="100" t="n"/>
    </row>
    <row r="14" ht="15" customHeight="1" s="52">
      <c r="A14" s="100" t="n"/>
      <c r="B14" s="100" t="n"/>
      <c r="C14" s="100" t="n"/>
      <c r="D14" s="100" t="n"/>
      <c r="E14" s="101" t="n"/>
      <c r="F14" s="102" t="n"/>
      <c r="G14" s="102" t="n"/>
      <c r="H14" s="100" t="n"/>
      <c r="I14" s="103" t="n"/>
      <c r="J14" s="100" t="n"/>
    </row>
    <row r="15" ht="15" customHeight="1" s="52">
      <c r="A15" s="100" t="n"/>
      <c r="B15" s="100" t="n"/>
      <c r="C15" s="100" t="n"/>
      <c r="D15" s="100" t="n"/>
      <c r="E15" s="101" t="n"/>
      <c r="F15" s="102" t="n"/>
      <c r="G15" s="102" t="n"/>
      <c r="H15" s="100" t="n"/>
      <c r="I15" s="103" t="n"/>
      <c r="J15" s="100" t="n"/>
    </row>
    <row r="16" ht="15" customHeight="1" s="52">
      <c r="A16" s="100" t="n"/>
      <c r="B16" s="100" t="n"/>
      <c r="C16" s="100" t="n"/>
      <c r="D16" s="100" t="n"/>
      <c r="E16" s="101" t="n"/>
      <c r="F16" s="102" t="n"/>
      <c r="G16" s="102" t="n"/>
      <c r="H16" s="100" t="n"/>
      <c r="I16" s="103" t="n"/>
      <c r="J16" s="100" t="n"/>
    </row>
    <row r="17" ht="15" customHeight="1" s="52">
      <c r="A17" s="100" t="n"/>
      <c r="B17" s="100" t="n"/>
      <c r="C17" s="100" t="n"/>
      <c r="D17" s="100" t="n"/>
      <c r="E17" s="101" t="n"/>
      <c r="F17" s="102" t="n"/>
      <c r="G17" s="102" t="n"/>
      <c r="H17" s="100" t="n"/>
      <c r="I17" s="103" t="n"/>
      <c r="J17" s="100" t="n"/>
    </row>
    <row r="18" ht="15" customHeight="1" s="52">
      <c r="A18" s="100" t="n"/>
      <c r="B18" s="100" t="n"/>
      <c r="C18" s="100" t="n"/>
      <c r="D18" s="100" t="n"/>
      <c r="E18" s="101" t="n"/>
      <c r="F18" s="102" t="n"/>
      <c r="G18" s="102" t="n"/>
      <c r="H18" s="100" t="n"/>
      <c r="I18" s="103" t="n"/>
      <c r="J18" s="100" t="n"/>
    </row>
    <row r="19" ht="15" customHeight="1" s="52">
      <c r="A19" s="100" t="n"/>
      <c r="B19" s="100" t="n"/>
      <c r="C19" s="100" t="n"/>
      <c r="D19" s="100" t="n"/>
      <c r="E19" s="101" t="n"/>
      <c r="F19" s="102" t="n"/>
      <c r="G19" s="102" t="n"/>
      <c r="H19" s="100" t="n"/>
      <c r="I19" s="103" t="n"/>
      <c r="J19" s="100" t="n"/>
    </row>
    <row r="20" ht="15" customHeight="1" s="52">
      <c r="A20" s="100" t="n"/>
      <c r="B20" s="100" t="n"/>
      <c r="C20" s="100" t="n"/>
      <c r="D20" s="100" t="n"/>
      <c r="E20" s="101" t="n"/>
      <c r="F20" s="102" t="n"/>
      <c r="G20" s="102" t="n"/>
      <c r="H20" s="100" t="n"/>
      <c r="I20" s="103" t="n"/>
      <c r="J20" s="100" t="n"/>
    </row>
    <row r="21" ht="15" customHeight="1" s="52">
      <c r="A21" s="100" t="n"/>
      <c r="B21" s="100" t="n"/>
      <c r="C21" s="100" t="n"/>
      <c r="D21" s="100" t="n"/>
      <c r="E21" s="101" t="n"/>
      <c r="F21" s="102" t="n"/>
      <c r="G21" s="102" t="n"/>
      <c r="H21" s="100" t="n"/>
      <c r="I21" s="103" t="n"/>
      <c r="J21" s="100" t="n"/>
    </row>
    <row r="22" ht="15" customHeight="1" s="52">
      <c r="A22" s="100" t="n"/>
      <c r="B22" s="100" t="n"/>
      <c r="C22" s="100" t="n"/>
      <c r="D22" s="100" t="n"/>
      <c r="E22" s="101" t="n"/>
      <c r="F22" s="102" t="n"/>
      <c r="G22" s="102" t="n"/>
      <c r="H22" s="100" t="n"/>
      <c r="I22" s="103" t="n"/>
      <c r="J22" s="100" t="n"/>
    </row>
    <row r="23" ht="15" customHeight="1" s="52">
      <c r="A23" s="100" t="n"/>
      <c r="B23" s="100" t="n"/>
      <c r="C23" s="100" t="n"/>
      <c r="D23" s="100" t="n"/>
      <c r="E23" s="101" t="n"/>
      <c r="F23" s="102" t="n"/>
      <c r="G23" s="102" t="n"/>
      <c r="H23" s="100" t="n"/>
      <c r="I23" s="103" t="n"/>
      <c r="J23" s="100" t="n"/>
    </row>
    <row r="24" ht="15" customHeight="1" s="52">
      <c r="A24" s="100" t="n"/>
      <c r="B24" s="100" t="n"/>
      <c r="C24" s="100" t="n"/>
      <c r="D24" s="100" t="n"/>
      <c r="E24" s="101" t="n"/>
      <c r="F24" s="102" t="n"/>
      <c r="G24" s="102" t="n"/>
      <c r="H24" s="100" t="n"/>
      <c r="I24" s="103" t="n"/>
      <c r="J24" s="100" t="n"/>
    </row>
    <row r="25" ht="15" customHeight="1" s="52">
      <c r="A25" s="100" t="n"/>
      <c r="B25" s="100" t="n"/>
      <c r="C25" s="100" t="n"/>
      <c r="D25" s="100" t="n"/>
      <c r="E25" s="101" t="n"/>
      <c r="F25" s="102" t="n"/>
      <c r="G25" s="102" t="n"/>
      <c r="H25" s="100" t="n"/>
      <c r="I25" s="103" t="n"/>
      <c r="J25" s="100" t="n"/>
    </row>
    <row r="26" ht="15" customHeight="1" s="52">
      <c r="A26" s="100" t="n"/>
      <c r="B26" s="100" t="n"/>
      <c r="C26" s="100" t="n"/>
      <c r="D26" s="100" t="n"/>
      <c r="E26" s="101" t="n"/>
      <c r="F26" s="102" t="n"/>
      <c r="G26" s="102" t="n"/>
      <c r="H26" s="100" t="n"/>
      <c r="I26" s="103" t="n"/>
      <c r="J26" s="100" t="n"/>
    </row>
    <row r="27" ht="15" customHeight="1" s="52">
      <c r="A27" s="100" t="n"/>
      <c r="B27" s="100" t="n"/>
      <c r="C27" s="100" t="n"/>
      <c r="D27" s="100" t="n"/>
      <c r="E27" s="101" t="n"/>
      <c r="F27" s="102" t="n"/>
      <c r="G27" s="102" t="n"/>
      <c r="H27" s="100" t="n"/>
      <c r="I27" s="103" t="n"/>
      <c r="J27" s="100" t="n"/>
    </row>
    <row r="28" ht="15" customHeight="1" s="52">
      <c r="A28" s="100" t="n"/>
      <c r="B28" s="100" t="n"/>
      <c r="C28" s="100" t="n"/>
      <c r="D28" s="100" t="n"/>
      <c r="E28" s="101" t="n"/>
      <c r="F28" s="102" t="n"/>
      <c r="G28" s="102" t="n"/>
      <c r="H28" s="100" t="n"/>
      <c r="I28" s="103" t="n"/>
      <c r="J28" s="100" t="n"/>
    </row>
    <row r="29" ht="15" customHeight="1" s="52">
      <c r="A29" s="100" t="n"/>
      <c r="B29" s="100" t="n"/>
      <c r="C29" s="100" t="n"/>
      <c r="D29" s="100" t="n"/>
      <c r="E29" s="101" t="n"/>
      <c r="F29" s="102" t="n"/>
      <c r="G29" s="102" t="n"/>
      <c r="H29" s="100" t="n"/>
      <c r="I29" s="103" t="n"/>
      <c r="J29" s="100" t="n"/>
    </row>
    <row r="30" ht="15" customHeight="1" s="52">
      <c r="A30" s="100" t="n"/>
      <c r="B30" s="100" t="n"/>
      <c r="C30" s="100" t="n"/>
      <c r="D30" s="100" t="n"/>
      <c r="E30" s="101" t="n"/>
      <c r="F30" s="102" t="n"/>
      <c r="G30" s="102" t="n"/>
      <c r="H30" s="100" t="n"/>
      <c r="I30" s="103" t="n"/>
      <c r="J30" s="100" t="n"/>
    </row>
    <row r="31" ht="15" customHeight="1" s="52">
      <c r="A31" s="100" t="n"/>
      <c r="B31" s="100" t="n"/>
      <c r="C31" s="100" t="n"/>
      <c r="D31" s="100" t="n"/>
      <c r="E31" s="101" t="n"/>
      <c r="F31" s="102" t="n"/>
      <c r="G31" s="102" t="n"/>
      <c r="H31" s="100" t="n"/>
      <c r="I31" s="103" t="n"/>
      <c r="J31" s="100" t="n"/>
    </row>
    <row r="32" ht="15" customHeight="1" s="52">
      <c r="A32" s="100" t="n"/>
      <c r="B32" s="100" t="n"/>
      <c r="C32" s="100" t="n"/>
      <c r="D32" s="100" t="n"/>
      <c r="E32" s="101" t="n"/>
      <c r="F32" s="102" t="n"/>
      <c r="G32" s="102" t="n"/>
      <c r="H32" s="100" t="n"/>
      <c r="I32" s="103" t="n"/>
      <c r="J32" s="100" t="n"/>
    </row>
    <row r="33" ht="15" customHeight="1" s="52">
      <c r="A33" s="100" t="n"/>
      <c r="B33" s="100" t="n"/>
      <c r="C33" s="100" t="n"/>
      <c r="D33" s="100" t="n"/>
      <c r="E33" s="101" t="n"/>
      <c r="F33" s="102" t="n"/>
      <c r="G33" s="102" t="n"/>
      <c r="H33" s="100" t="n"/>
      <c r="I33" s="103" t="n"/>
      <c r="J33" s="100" t="n"/>
    </row>
    <row r="34" ht="15" customHeight="1" s="52">
      <c r="A34" s="100" t="n"/>
      <c r="B34" s="100" t="n"/>
      <c r="C34" s="100" t="n"/>
      <c r="D34" s="100" t="n"/>
      <c r="E34" s="101" t="n"/>
      <c r="F34" s="102" t="n"/>
      <c r="G34" s="102" t="n"/>
      <c r="H34" s="100" t="n"/>
      <c r="I34" s="103" t="n"/>
      <c r="J34" s="100" t="n"/>
    </row>
    <row r="35" ht="15" customHeight="1" s="52">
      <c r="A35" s="100" t="n"/>
      <c r="B35" s="100" t="n"/>
      <c r="C35" s="100" t="n"/>
      <c r="D35" s="100" t="n"/>
      <c r="E35" s="101" t="n"/>
      <c r="F35" s="102" t="n"/>
      <c r="G35" s="102" t="n"/>
      <c r="H35" s="100" t="n"/>
      <c r="I35" s="103" t="n"/>
      <c r="J35" s="100" t="n"/>
    </row>
    <row r="36" ht="15" customHeight="1" s="52">
      <c r="A36" s="100" t="n"/>
      <c r="B36" s="100" t="n"/>
      <c r="C36" s="100" t="n"/>
      <c r="D36" s="100" t="n"/>
      <c r="E36" s="101" t="n"/>
      <c r="F36" s="102" t="n"/>
      <c r="G36" s="102" t="n"/>
      <c r="H36" s="100" t="n"/>
      <c r="I36" s="103" t="n"/>
      <c r="J36" s="100" t="n"/>
    </row>
    <row r="37" ht="15" customHeight="1" s="52">
      <c r="A37" s="100" t="n"/>
      <c r="B37" s="100" t="n"/>
      <c r="C37" s="100" t="n"/>
      <c r="D37" s="100" t="n"/>
      <c r="E37" s="101" t="n"/>
      <c r="F37" s="102" t="n"/>
      <c r="G37" s="102" t="n"/>
      <c r="H37" s="100" t="n"/>
      <c r="I37" s="103" t="n"/>
      <c r="J37" s="100" t="n"/>
    </row>
    <row r="38" ht="15" customHeight="1" s="52">
      <c r="A38" s="100" t="n"/>
      <c r="B38" s="100" t="n"/>
      <c r="C38" s="100" t="n"/>
      <c r="D38" s="100" t="n"/>
      <c r="E38" s="101" t="n"/>
      <c r="F38" s="102" t="n"/>
      <c r="G38" s="102" t="n"/>
      <c r="H38" s="100" t="n"/>
      <c r="I38" s="103" t="n"/>
      <c r="J38" s="100" t="n"/>
    </row>
    <row r="39" ht="15" customHeight="1" s="52">
      <c r="A39" s="100" t="n"/>
      <c r="B39" s="100" t="n"/>
      <c r="C39" s="100" t="n"/>
      <c r="D39" s="100" t="n"/>
      <c r="E39" s="101" t="n"/>
      <c r="F39" s="102" t="n"/>
      <c r="G39" s="102" t="n"/>
      <c r="H39" s="100" t="n"/>
      <c r="I39" s="103" t="n"/>
      <c r="J39" s="100" t="n"/>
    </row>
    <row r="40" ht="15" customHeight="1" s="52">
      <c r="A40" s="100" t="n"/>
      <c r="B40" s="100" t="n"/>
      <c r="C40" s="100" t="n"/>
      <c r="D40" s="100" t="n"/>
      <c r="E40" s="101" t="n"/>
      <c r="F40" s="102" t="n"/>
      <c r="G40" s="102" t="n"/>
      <c r="H40" s="100" t="n"/>
      <c r="I40" s="103" t="n"/>
      <c r="J40" s="100" t="n"/>
    </row>
    <row r="41" ht="15" customHeight="1" s="52">
      <c r="A41" s="100" t="n"/>
      <c r="B41" s="100" t="n"/>
      <c r="C41" s="100" t="n"/>
      <c r="D41" s="100" t="n"/>
      <c r="E41" s="101" t="n"/>
      <c r="F41" s="102" t="n"/>
      <c r="G41" s="102" t="n"/>
      <c r="H41" s="100" t="n"/>
      <c r="I41" s="103" t="n"/>
      <c r="J41" s="100" t="n"/>
    </row>
    <row r="42" ht="15" customHeight="1" s="52">
      <c r="A42" s="100" t="n"/>
      <c r="B42" s="100" t="n"/>
      <c r="C42" s="100" t="n"/>
      <c r="D42" s="100" t="n"/>
      <c r="E42" s="101" t="n"/>
      <c r="F42" s="102" t="n"/>
      <c r="G42" s="102" t="n"/>
      <c r="H42" s="100" t="n"/>
      <c r="I42" s="103" t="n"/>
      <c r="J42" s="100" t="n"/>
    </row>
    <row r="43" ht="15" customHeight="1" s="52">
      <c r="A43" s="100" t="n"/>
      <c r="B43" s="100" t="n"/>
      <c r="C43" s="100" t="n"/>
      <c r="D43" s="100" t="n"/>
      <c r="E43" s="101" t="n"/>
      <c r="F43" s="102" t="n"/>
      <c r="G43" s="102" t="n"/>
      <c r="H43" s="100" t="n"/>
      <c r="I43" s="103" t="n"/>
      <c r="J43" s="100" t="n"/>
    </row>
    <row r="44" ht="15" customHeight="1" s="52">
      <c r="A44" s="100" t="n"/>
      <c r="B44" s="100" t="n"/>
      <c r="C44" s="100" t="n"/>
      <c r="D44" s="100" t="n"/>
      <c r="E44" s="101" t="n"/>
      <c r="F44" s="102" t="n"/>
      <c r="G44" s="102" t="n"/>
      <c r="H44" s="100" t="n"/>
      <c r="I44" s="103" t="n"/>
      <c r="J44" s="100" t="n"/>
    </row>
    <row r="45" ht="15" customHeight="1" s="52">
      <c r="A45" s="100" t="n"/>
      <c r="B45" s="100" t="n"/>
      <c r="C45" s="100" t="n"/>
      <c r="D45" s="100" t="n"/>
      <c r="E45" s="101" t="n"/>
      <c r="F45" s="102" t="n"/>
      <c r="G45" s="102" t="n"/>
      <c r="H45" s="100" t="n"/>
      <c r="I45" s="103" t="n"/>
      <c r="J45" s="100" t="n"/>
    </row>
    <row r="46" ht="15" customHeight="1" s="52">
      <c r="A46" s="100" t="n"/>
      <c r="B46" s="100" t="n"/>
      <c r="C46" s="100" t="n"/>
      <c r="D46" s="100" t="n"/>
      <c r="E46" s="101" t="n"/>
      <c r="F46" s="102" t="n"/>
      <c r="G46" s="102" t="n"/>
      <c r="H46" s="100" t="n"/>
      <c r="I46" s="103" t="n"/>
      <c r="J46" s="100" t="n"/>
    </row>
    <row r="47" ht="15" customHeight="1" s="52">
      <c r="A47" s="100" t="n"/>
      <c r="B47" s="100" t="n"/>
      <c r="C47" s="100" t="n"/>
      <c r="D47" s="100" t="n"/>
      <c r="E47" s="101" t="n"/>
      <c r="F47" s="102" t="n"/>
      <c r="G47" s="102" t="n"/>
      <c r="H47" s="100" t="n"/>
      <c r="I47" s="103" t="n"/>
      <c r="J47" s="100" t="n"/>
    </row>
    <row r="48" ht="15" customHeight="1" s="52">
      <c r="A48" s="100" t="n"/>
      <c r="B48" s="100" t="n"/>
      <c r="C48" s="100" t="n"/>
      <c r="D48" s="100" t="n"/>
      <c r="E48" s="101" t="n"/>
      <c r="F48" s="102" t="n"/>
      <c r="G48" s="102" t="n"/>
      <c r="H48" s="100" t="n"/>
      <c r="I48" s="103" t="n"/>
      <c r="J48" s="100" t="n"/>
    </row>
    <row r="49" ht="15" customHeight="1" s="52">
      <c r="A49" s="100" t="n"/>
      <c r="B49" s="100" t="n"/>
      <c r="C49" s="100" t="n"/>
      <c r="D49" s="100" t="n"/>
      <c r="E49" s="101" t="n"/>
      <c r="F49" s="102" t="n"/>
      <c r="G49" s="102" t="n"/>
      <c r="H49" s="100" t="n"/>
      <c r="I49" s="103" t="n"/>
      <c r="J49" s="100" t="n"/>
    </row>
    <row r="50" ht="15" customHeight="1" s="52">
      <c r="A50" s="100" t="n"/>
      <c r="B50" s="100" t="n"/>
      <c r="C50" s="100" t="n"/>
      <c r="D50" s="100" t="n"/>
      <c r="E50" s="101" t="n"/>
      <c r="F50" s="102" t="n"/>
      <c r="G50" s="102" t="n"/>
      <c r="H50" s="100" t="n"/>
      <c r="I50" s="103" t="n"/>
      <c r="J50" s="100" t="n"/>
    </row>
    <row r="51" ht="15" customHeight="1" s="52">
      <c r="A51" s="100" t="n"/>
      <c r="B51" s="100" t="n"/>
      <c r="C51" s="100" t="n"/>
      <c r="D51" s="100" t="n"/>
      <c r="E51" s="101" t="n"/>
      <c r="F51" s="102" t="n"/>
      <c r="G51" s="102" t="n"/>
      <c r="H51" s="100" t="n"/>
      <c r="I51" s="103" t="n"/>
      <c r="J51" s="100" t="n"/>
    </row>
    <row r="52" ht="15" customHeight="1" s="52">
      <c r="A52" s="100" t="n"/>
      <c r="B52" s="100" t="n"/>
      <c r="C52" s="100" t="n"/>
      <c r="D52" s="100" t="n"/>
      <c r="E52" s="101" t="n"/>
      <c r="F52" s="102" t="n"/>
      <c r="G52" s="102" t="n"/>
      <c r="H52" s="100" t="n"/>
      <c r="I52" s="103" t="n"/>
      <c r="J52" s="100" t="n"/>
    </row>
    <row r="53" ht="15" customHeight="1" s="52">
      <c r="A53" s="100" t="n"/>
      <c r="B53" s="100" t="n"/>
      <c r="C53" s="100" t="n"/>
      <c r="D53" s="100" t="n"/>
      <c r="E53" s="101" t="n"/>
      <c r="F53" s="102" t="n"/>
      <c r="G53" s="102" t="n"/>
      <c r="H53" s="100" t="n"/>
      <c r="I53" s="103" t="n"/>
      <c r="J53" s="100" t="n"/>
    </row>
    <row r="54" ht="15" customHeight="1" s="52">
      <c r="A54" s="100" t="n"/>
      <c r="B54" s="100" t="n"/>
      <c r="C54" s="100" t="n"/>
      <c r="D54" s="100" t="n"/>
      <c r="E54" s="101" t="n"/>
      <c r="F54" s="102" t="n"/>
      <c r="G54" s="102" t="n"/>
      <c r="H54" s="100" t="n"/>
      <c r="I54" s="103" t="n"/>
      <c r="J54" s="100" t="n"/>
    </row>
    <row r="55" ht="15" customHeight="1" s="52">
      <c r="A55" s="100" t="n"/>
      <c r="B55" s="100" t="n"/>
      <c r="C55" s="100" t="n"/>
      <c r="D55" s="100" t="n"/>
      <c r="E55" s="101" t="n"/>
      <c r="F55" s="102" t="n"/>
      <c r="G55" s="102" t="n"/>
      <c r="H55" s="100" t="n"/>
      <c r="I55" s="103" t="n"/>
      <c r="J55" s="100" t="n"/>
    </row>
    <row r="56" ht="15" customHeight="1" s="52">
      <c r="A56" s="100" t="n"/>
      <c r="B56" s="100" t="n"/>
      <c r="C56" s="100" t="n"/>
      <c r="D56" s="100" t="n"/>
      <c r="E56" s="101" t="n"/>
      <c r="F56" s="102" t="n"/>
      <c r="G56" s="102" t="n"/>
      <c r="H56" s="100" t="n"/>
      <c r="I56" s="103" t="n"/>
      <c r="J56" s="100" t="n"/>
    </row>
    <row r="57" ht="15" customHeight="1" s="52">
      <c r="A57" s="100" t="n"/>
      <c r="B57" s="100" t="n"/>
      <c r="C57" s="100" t="n"/>
      <c r="D57" s="100" t="n"/>
      <c r="E57" s="101" t="n"/>
      <c r="F57" s="102" t="n"/>
      <c r="G57" s="102" t="n"/>
      <c r="H57" s="100" t="n"/>
      <c r="I57" s="103" t="n"/>
      <c r="J57" s="100" t="n"/>
    </row>
    <row r="58" ht="15" customHeight="1" s="52">
      <c r="A58" s="100" t="n"/>
      <c r="B58" s="100" t="n"/>
      <c r="C58" s="100" t="n"/>
      <c r="D58" s="100" t="n"/>
      <c r="E58" s="101" t="n"/>
      <c r="F58" s="102" t="n"/>
      <c r="G58" s="102" t="n"/>
      <c r="H58" s="100" t="n"/>
      <c r="I58" s="103" t="n"/>
      <c r="J58" s="100" t="n"/>
    </row>
    <row r="59" ht="15" customHeight="1" s="52">
      <c r="A59" s="100" t="n"/>
      <c r="B59" s="100" t="n"/>
      <c r="C59" s="100" t="n"/>
      <c r="D59" s="100" t="n"/>
      <c r="E59" s="101" t="n"/>
      <c r="F59" s="102" t="n"/>
      <c r="G59" s="102" t="n"/>
      <c r="H59" s="100" t="n"/>
      <c r="I59" s="103" t="n"/>
      <c r="J59" s="100" t="n"/>
    </row>
    <row r="60" ht="15" customHeight="1" s="52">
      <c r="A60" s="100" t="n"/>
      <c r="B60" s="100" t="n"/>
      <c r="C60" s="100" t="n"/>
      <c r="D60" s="100" t="n"/>
      <c r="E60" s="101" t="n"/>
      <c r="F60" s="102" t="n"/>
      <c r="G60" s="102" t="n"/>
      <c r="H60" s="100" t="n"/>
      <c r="I60" s="103" t="n"/>
      <c r="J60" s="100" t="n"/>
    </row>
    <row r="61" ht="15" customHeight="1" s="52">
      <c r="A61" s="100" t="n"/>
      <c r="B61" s="100" t="n"/>
      <c r="C61" s="100" t="n"/>
      <c r="D61" s="100" t="n"/>
      <c r="E61" s="101" t="n"/>
      <c r="F61" s="102" t="n"/>
      <c r="G61" s="102" t="n"/>
      <c r="H61" s="100" t="n"/>
      <c r="I61" s="103" t="n"/>
      <c r="J61" s="100" t="n"/>
    </row>
    <row r="62" ht="15" customHeight="1" s="52">
      <c r="A62" s="100" t="n"/>
      <c r="B62" s="100" t="n"/>
      <c r="C62" s="100" t="n"/>
      <c r="D62" s="100" t="n"/>
      <c r="E62" s="101" t="n"/>
      <c r="F62" s="102" t="n"/>
      <c r="G62" s="102" t="n"/>
      <c r="H62" s="100" t="n"/>
      <c r="I62" s="103" t="n"/>
      <c r="J62" s="100" t="n"/>
    </row>
    <row r="63" ht="15" customHeight="1" s="52">
      <c r="A63" s="100" t="n"/>
      <c r="B63" s="100" t="n"/>
      <c r="C63" s="100" t="n"/>
      <c r="D63" s="100" t="n"/>
      <c r="E63" s="101" t="n"/>
      <c r="F63" s="102" t="n"/>
      <c r="G63" s="102" t="n"/>
      <c r="H63" s="100" t="n"/>
      <c r="I63" s="103" t="n"/>
      <c r="J63" s="100" t="n"/>
    </row>
    <row r="64" ht="15" customHeight="1" s="52">
      <c r="A64" s="100" t="n"/>
      <c r="B64" s="100" t="n"/>
      <c r="C64" s="100" t="n"/>
      <c r="D64" s="100" t="n"/>
      <c r="E64" s="101" t="n"/>
      <c r="F64" s="102" t="n"/>
      <c r="G64" s="102" t="n"/>
      <c r="H64" s="100" t="n"/>
      <c r="I64" s="103" t="n"/>
      <c r="J64" s="100" t="n"/>
    </row>
    <row r="65" ht="15" customHeight="1" s="52">
      <c r="A65" s="100" t="n"/>
      <c r="B65" s="100" t="n"/>
      <c r="C65" s="100" t="n"/>
      <c r="D65" s="100" t="n"/>
      <c r="E65" s="101" t="n"/>
      <c r="F65" s="102" t="n"/>
      <c r="G65" s="102" t="n"/>
      <c r="H65" s="100" t="n"/>
      <c r="I65" s="103" t="n"/>
      <c r="J65" s="100" t="n"/>
    </row>
    <row r="66" ht="15" customHeight="1" s="52">
      <c r="A66" s="100" t="n"/>
      <c r="B66" s="100" t="n"/>
      <c r="C66" s="100" t="n"/>
      <c r="D66" s="100" t="n"/>
      <c r="E66" s="101" t="n"/>
      <c r="F66" s="102" t="n"/>
      <c r="G66" s="102" t="n"/>
      <c r="H66" s="100" t="n"/>
      <c r="I66" s="103" t="n"/>
      <c r="J66" s="100" t="n"/>
    </row>
    <row r="67" ht="15" customHeight="1" s="52">
      <c r="A67" s="100" t="n"/>
      <c r="B67" s="100" t="n"/>
      <c r="C67" s="100" t="n"/>
      <c r="D67" s="100" t="n"/>
      <c r="E67" s="101" t="n"/>
      <c r="F67" s="102" t="n"/>
      <c r="G67" s="102" t="n"/>
      <c r="H67" s="100" t="n"/>
      <c r="I67" s="103" t="n"/>
      <c r="J67" s="100" t="n"/>
    </row>
    <row r="68" ht="15" customHeight="1" s="52">
      <c r="A68" s="100" t="n"/>
      <c r="B68" s="100" t="n"/>
      <c r="C68" s="100" t="n"/>
      <c r="D68" s="100" t="n"/>
      <c r="E68" s="101" t="n"/>
      <c r="F68" s="102" t="n"/>
      <c r="G68" s="102" t="n"/>
      <c r="H68" s="100" t="n"/>
      <c r="I68" s="103" t="n"/>
      <c r="J68" s="100" t="n"/>
    </row>
    <row r="69" ht="15" customHeight="1" s="52">
      <c r="A69" s="100" t="n"/>
      <c r="B69" s="100" t="n"/>
      <c r="C69" s="100" t="n"/>
      <c r="D69" s="100" t="n"/>
      <c r="E69" s="101" t="n"/>
      <c r="F69" s="102" t="n"/>
      <c r="G69" s="102" t="n"/>
      <c r="H69" s="100" t="n"/>
      <c r="I69" s="103" t="n"/>
      <c r="J69" s="100" t="n"/>
    </row>
    <row r="70" ht="15" customHeight="1" s="52">
      <c r="A70" s="100" t="n"/>
      <c r="B70" s="100" t="n"/>
      <c r="C70" s="100" t="n"/>
      <c r="D70" s="100" t="n"/>
      <c r="E70" s="101" t="n"/>
      <c r="F70" s="102" t="n"/>
      <c r="G70" s="102" t="n"/>
      <c r="H70" s="100" t="n"/>
      <c r="I70" s="103" t="n"/>
      <c r="J70" s="100" t="n"/>
    </row>
    <row r="71" ht="15" customHeight="1" s="52">
      <c r="A71" s="100" t="n"/>
      <c r="B71" s="100" t="n"/>
      <c r="C71" s="100" t="n"/>
      <c r="D71" s="100" t="n"/>
      <c r="E71" s="101" t="n"/>
      <c r="F71" s="102" t="n"/>
      <c r="G71" s="102" t="n"/>
      <c r="H71" s="100" t="n"/>
      <c r="I71" s="103" t="n"/>
      <c r="J71" s="100" t="n"/>
    </row>
    <row r="72" ht="15" customHeight="1" s="52">
      <c r="A72" s="100" t="n"/>
      <c r="B72" s="100" t="n"/>
      <c r="C72" s="100" t="n"/>
      <c r="D72" s="100" t="n"/>
      <c r="E72" s="101" t="n"/>
      <c r="F72" s="102" t="n"/>
      <c r="G72" s="102" t="n"/>
      <c r="H72" s="100" t="n"/>
      <c r="I72" s="103" t="n"/>
      <c r="J72" s="100" t="n"/>
    </row>
    <row r="73" ht="15" customHeight="1" s="52">
      <c r="A73" s="100" t="n"/>
      <c r="B73" s="100" t="n"/>
      <c r="C73" s="100" t="n"/>
      <c r="D73" s="100" t="n"/>
      <c r="E73" s="101" t="n"/>
      <c r="F73" s="102" t="n"/>
      <c r="G73" s="102" t="n"/>
      <c r="H73" s="100" t="n"/>
      <c r="I73" s="103" t="n"/>
      <c r="J73" s="100" t="n"/>
    </row>
    <row r="74" ht="15" customHeight="1" s="52">
      <c r="A74" s="100" t="n"/>
      <c r="B74" s="100" t="n"/>
      <c r="C74" s="100" t="n"/>
      <c r="D74" s="100" t="n"/>
      <c r="E74" s="101" t="n"/>
      <c r="F74" s="102" t="n"/>
      <c r="G74" s="102" t="n"/>
      <c r="H74" s="100" t="n"/>
      <c r="I74" s="103" t="n"/>
      <c r="J74" s="100" t="n"/>
    </row>
    <row r="75" ht="15" customHeight="1" s="52">
      <c r="A75" s="100" t="n"/>
      <c r="B75" s="100" t="n"/>
      <c r="C75" s="100" t="n"/>
      <c r="D75" s="100" t="n"/>
      <c r="E75" s="101" t="n"/>
      <c r="F75" s="102" t="n"/>
      <c r="G75" s="102" t="n"/>
      <c r="H75" s="100" t="n"/>
      <c r="I75" s="103" t="n"/>
      <c r="J75" s="100" t="n"/>
    </row>
    <row r="76" ht="15" customHeight="1" s="52">
      <c r="A76" s="100" t="n"/>
      <c r="B76" s="100" t="n"/>
      <c r="C76" s="100" t="n"/>
      <c r="D76" s="100" t="n"/>
      <c r="E76" s="101" t="n"/>
      <c r="F76" s="102" t="n"/>
      <c r="G76" s="102" t="n"/>
      <c r="H76" s="100" t="n"/>
      <c r="I76" s="103" t="n"/>
      <c r="J76" s="100" t="n"/>
    </row>
    <row r="77" ht="15" customHeight="1" s="52">
      <c r="A77" s="100" t="n"/>
      <c r="B77" s="100" t="n"/>
      <c r="C77" s="100" t="n"/>
      <c r="D77" s="100" t="n"/>
      <c r="E77" s="101" t="n"/>
      <c r="F77" s="102" t="n"/>
      <c r="G77" s="102" t="n"/>
      <c r="H77" s="100" t="n"/>
      <c r="I77" s="103" t="n"/>
      <c r="J77" s="100" t="n"/>
    </row>
    <row r="78" ht="15" customHeight="1" s="52">
      <c r="A78" s="100" t="n"/>
      <c r="B78" s="100" t="n"/>
      <c r="C78" s="100" t="n"/>
      <c r="D78" s="100" t="n"/>
      <c r="E78" s="101" t="n"/>
      <c r="F78" s="102" t="n"/>
      <c r="G78" s="102" t="n"/>
      <c r="H78" s="100" t="n"/>
      <c r="I78" s="103" t="n"/>
      <c r="J78" s="100" t="n"/>
    </row>
    <row r="79" ht="15" customHeight="1" s="52">
      <c r="A79" s="100" t="n"/>
      <c r="B79" s="100" t="n"/>
      <c r="C79" s="100" t="n"/>
      <c r="D79" s="100" t="n"/>
      <c r="E79" s="101" t="n"/>
      <c r="F79" s="102" t="n"/>
      <c r="G79" s="102" t="n"/>
      <c r="H79" s="100" t="n"/>
      <c r="I79" s="103" t="n"/>
      <c r="J79" s="100" t="n"/>
    </row>
    <row r="80" ht="15" customHeight="1" s="52">
      <c r="A80" s="100" t="n"/>
      <c r="B80" s="100" t="n"/>
      <c r="C80" s="100" t="n"/>
      <c r="D80" s="100" t="n"/>
      <c r="E80" s="101" t="n"/>
      <c r="F80" s="102" t="n"/>
      <c r="G80" s="102" t="n"/>
      <c r="H80" s="100" t="n"/>
      <c r="I80" s="103" t="n"/>
      <c r="J80" s="100" t="n"/>
    </row>
    <row r="81" ht="15" customHeight="1" s="52">
      <c r="A81" s="100" t="n"/>
      <c r="B81" s="100" t="n"/>
      <c r="C81" s="100" t="n"/>
      <c r="D81" s="100" t="n"/>
      <c r="E81" s="101" t="n"/>
      <c r="F81" s="102" t="n"/>
      <c r="G81" s="102" t="n"/>
      <c r="H81" s="100" t="n"/>
      <c r="I81" s="103" t="n"/>
      <c r="J81" s="100" t="n"/>
    </row>
    <row r="82" ht="15" customHeight="1" s="52">
      <c r="A82" s="100" t="n"/>
      <c r="B82" s="100" t="n"/>
      <c r="C82" s="100" t="n"/>
      <c r="D82" s="100" t="n"/>
      <c r="E82" s="101" t="n"/>
      <c r="F82" s="102" t="n"/>
      <c r="G82" s="102" t="n"/>
      <c r="H82" s="100" t="n"/>
      <c r="I82" s="103" t="n"/>
      <c r="J82" s="100" t="n"/>
    </row>
    <row r="83" ht="15" customHeight="1" s="52">
      <c r="A83" s="100" t="n"/>
      <c r="B83" s="100" t="n"/>
      <c r="C83" s="100" t="n"/>
      <c r="D83" s="100" t="n"/>
      <c r="E83" s="101" t="n"/>
      <c r="F83" s="102" t="n"/>
      <c r="G83" s="102" t="n"/>
      <c r="H83" s="100" t="n"/>
      <c r="I83" s="103" t="n"/>
      <c r="J83" s="100" t="n"/>
    </row>
    <row r="84" ht="15" customHeight="1" s="52">
      <c r="A84" s="100" t="n"/>
      <c r="B84" s="100" t="n"/>
      <c r="C84" s="100" t="n"/>
      <c r="D84" s="100" t="n"/>
      <c r="E84" s="101" t="n"/>
      <c r="F84" s="102" t="n"/>
      <c r="G84" s="102" t="n"/>
      <c r="H84" s="100" t="n"/>
      <c r="I84" s="103" t="n"/>
      <c r="J84" s="100" t="n"/>
    </row>
    <row r="85" ht="15" customHeight="1" s="52">
      <c r="A85" s="100" t="n"/>
      <c r="B85" s="100" t="n"/>
      <c r="C85" s="100" t="n"/>
      <c r="D85" s="100" t="n"/>
      <c r="E85" s="101" t="n"/>
      <c r="F85" s="102" t="n"/>
      <c r="G85" s="102" t="n"/>
      <c r="H85" s="100" t="n"/>
      <c r="I85" s="103" t="n"/>
      <c r="J85" s="100" t="n"/>
    </row>
    <row r="86" ht="15" customHeight="1" s="52">
      <c r="A86" s="100" t="n"/>
      <c r="B86" s="100" t="n"/>
      <c r="C86" s="100" t="n"/>
      <c r="D86" s="100" t="n"/>
      <c r="E86" s="101" t="n"/>
      <c r="F86" s="102" t="n"/>
      <c r="G86" s="102" t="n"/>
      <c r="H86" s="100" t="n"/>
      <c r="I86" s="103" t="n"/>
      <c r="J86" s="100" t="n"/>
    </row>
    <row r="87" ht="15" customHeight="1" s="52">
      <c r="A87" s="100" t="n"/>
      <c r="B87" s="100" t="n"/>
      <c r="C87" s="100" t="n"/>
      <c r="D87" s="100" t="n"/>
      <c r="E87" s="101" t="n"/>
      <c r="F87" s="102" t="n"/>
      <c r="G87" s="102" t="n"/>
      <c r="H87" s="100" t="n"/>
      <c r="I87" s="103" t="n"/>
      <c r="J87" s="100" t="n"/>
    </row>
    <row r="88" ht="15" customHeight="1" s="52">
      <c r="A88" s="100" t="n"/>
      <c r="B88" s="100" t="n"/>
      <c r="C88" s="100" t="n"/>
      <c r="D88" s="100" t="n"/>
      <c r="E88" s="101" t="n"/>
      <c r="F88" s="102" t="n"/>
      <c r="G88" s="102" t="n"/>
      <c r="H88" s="100" t="n"/>
      <c r="I88" s="103" t="n"/>
      <c r="J88" s="100" t="n"/>
    </row>
    <row r="89" ht="15" customHeight="1" s="52">
      <c r="A89" s="100" t="n"/>
      <c r="B89" s="100" t="n"/>
      <c r="C89" s="100" t="n"/>
      <c r="D89" s="100" t="n"/>
      <c r="E89" s="101" t="n"/>
      <c r="F89" s="102" t="n"/>
      <c r="G89" s="102" t="n"/>
      <c r="H89" s="100" t="n"/>
      <c r="I89" s="103" t="n"/>
      <c r="J89" s="100" t="n"/>
    </row>
    <row r="90" ht="15" customHeight="1" s="52">
      <c r="A90" s="100" t="n"/>
      <c r="B90" s="100" t="n"/>
      <c r="C90" s="100" t="n"/>
      <c r="D90" s="100" t="n"/>
      <c r="E90" s="101" t="n"/>
      <c r="F90" s="102" t="n"/>
      <c r="G90" s="102" t="n"/>
      <c r="H90" s="100" t="n"/>
      <c r="I90" s="103" t="n"/>
      <c r="J90" s="100" t="n"/>
    </row>
    <row r="91" ht="15" customHeight="1" s="52">
      <c r="A91" s="100" t="n"/>
      <c r="B91" s="100" t="n"/>
      <c r="C91" s="100" t="n"/>
      <c r="D91" s="100" t="n"/>
      <c r="E91" s="101" t="n"/>
      <c r="F91" s="102" t="n"/>
      <c r="G91" s="102" t="n"/>
      <c r="H91" s="100" t="n"/>
      <c r="I91" s="103" t="n"/>
      <c r="J91" s="100" t="n"/>
    </row>
    <row r="92" ht="15" customHeight="1" s="52">
      <c r="A92" s="100" t="n"/>
      <c r="B92" s="100" t="n"/>
      <c r="C92" s="100" t="n"/>
      <c r="D92" s="100" t="n"/>
      <c r="E92" s="101" t="n"/>
      <c r="F92" s="102" t="n"/>
      <c r="G92" s="102" t="n"/>
      <c r="H92" s="100" t="n"/>
      <c r="I92" s="103" t="n"/>
      <c r="J92" s="100" t="n"/>
    </row>
    <row r="93" ht="15" customHeight="1" s="52">
      <c r="A93" s="100" t="n"/>
      <c r="B93" s="100" t="n"/>
      <c r="C93" s="100" t="n"/>
      <c r="D93" s="100" t="n"/>
      <c r="E93" s="101" t="n"/>
      <c r="F93" s="102" t="n"/>
      <c r="G93" s="102" t="n"/>
      <c r="H93" s="100" t="n"/>
      <c r="I93" s="103" t="n"/>
      <c r="J93" s="100" t="n"/>
    </row>
    <row r="94" ht="15" customHeight="1" s="52">
      <c r="A94" s="100" t="n"/>
      <c r="B94" s="100" t="n"/>
      <c r="C94" s="100" t="n"/>
      <c r="D94" s="100" t="n"/>
      <c r="E94" s="101" t="n"/>
      <c r="F94" s="102" t="n"/>
      <c r="G94" s="102" t="n"/>
      <c r="H94" s="100" t="n"/>
      <c r="I94" s="103" t="n"/>
      <c r="J94" s="100" t="n"/>
    </row>
    <row r="95" ht="15" customHeight="1" s="52">
      <c r="A95" s="100" t="n"/>
      <c r="B95" s="100" t="n"/>
      <c r="C95" s="100" t="n"/>
      <c r="D95" s="100" t="n"/>
      <c r="E95" s="101" t="n"/>
      <c r="F95" s="102" t="n"/>
      <c r="G95" s="102" t="n"/>
      <c r="H95" s="100" t="n"/>
      <c r="I95" s="103" t="n"/>
      <c r="J95" s="100" t="n"/>
    </row>
    <row r="96" ht="15" customHeight="1" s="52">
      <c r="A96" s="100" t="n"/>
      <c r="B96" s="100" t="n"/>
      <c r="C96" s="100" t="n"/>
      <c r="D96" s="100" t="n"/>
      <c r="E96" s="101" t="n"/>
      <c r="F96" s="102" t="n"/>
      <c r="G96" s="102" t="n"/>
      <c r="H96" s="100" t="n"/>
      <c r="I96" s="103" t="n"/>
      <c r="J96" s="100" t="n"/>
    </row>
    <row r="97" ht="15" customHeight="1" s="52">
      <c r="A97" s="100" t="n"/>
      <c r="B97" s="100" t="n"/>
      <c r="C97" s="100" t="n"/>
      <c r="D97" s="100" t="n"/>
      <c r="E97" s="101" t="n"/>
      <c r="F97" s="102" t="n"/>
      <c r="G97" s="102" t="n"/>
      <c r="H97" s="100" t="n"/>
      <c r="I97" s="103" t="n"/>
      <c r="J97" s="100" t="n"/>
    </row>
    <row r="98" ht="15" customHeight="1" s="52">
      <c r="A98" s="100" t="n"/>
      <c r="B98" s="100" t="n"/>
      <c r="C98" s="100" t="n"/>
      <c r="D98" s="100" t="n"/>
      <c r="E98" s="101" t="n"/>
      <c r="F98" s="102" t="n"/>
      <c r="G98" s="102" t="n"/>
      <c r="H98" s="100" t="n"/>
      <c r="I98" s="103" t="n"/>
      <c r="J98" s="100" t="n"/>
    </row>
    <row r="99" ht="15" customHeight="1" s="52">
      <c r="A99" s="100" t="n"/>
      <c r="B99" s="100" t="n"/>
      <c r="C99" s="100" t="n"/>
      <c r="D99" s="100" t="n"/>
      <c r="E99" s="101" t="n"/>
      <c r="F99" s="102" t="n"/>
      <c r="G99" s="102" t="n"/>
      <c r="H99" s="100" t="n"/>
      <c r="I99" s="103" t="n"/>
      <c r="J99" s="100" t="n"/>
    </row>
  </sheetData>
  <mergeCells count="2">
    <mergeCell ref="A1:J1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H1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2"/>
    <col width="22" customWidth="1" style="51" min="3" max="3"/>
    <col width="16" customWidth="1" style="51" min="4" max="4"/>
    <col width="14" customWidth="1" style="51" min="5" max="5"/>
    <col width="34" customWidth="1" style="51" min="6" max="6"/>
    <col width="28" customWidth="1" style="51" min="7" max="7"/>
    <col width="14" customWidth="1" style="51" min="8" max="8"/>
  </cols>
  <sheetData>
    <row r="1" ht="27.75" customHeight="1" s="52">
      <c r="A1" s="53" t="inlineStr">
        <is>
          <t xml:space="preserve">  FEEDBACK LOG  —  Internal &amp; External</t>
        </is>
      </c>
    </row>
    <row r="2" ht="21.75" customHeight="1" s="52">
      <c r="A2" s="54" t="inlineStr">
        <is>
          <t xml:space="preserve">  Source: Internal | External.  Type: CPARS | Survey | Email | Verbal | Slack.  Sentiment: + | 0 | −</t>
        </is>
      </c>
    </row>
    <row r="3"/>
    <row r="4" ht="30" customHeight="1" s="52">
      <c r="A4" s="64" t="inlineStr">
        <is>
          <t>Date</t>
        </is>
      </c>
      <c r="B4" s="64" t="inlineStr">
        <is>
          <t>Source</t>
        </is>
      </c>
      <c r="C4" s="64" t="inlineStr">
        <is>
          <t>Party</t>
        </is>
      </c>
      <c r="D4" s="64" t="inlineStr">
        <is>
          <t>Type</t>
        </is>
      </c>
      <c r="E4" s="64" t="inlineStr">
        <is>
          <t>Sentiment</t>
        </is>
      </c>
      <c r="F4" s="64" t="inlineStr">
        <is>
          <t>Summary</t>
        </is>
      </c>
      <c r="G4" s="64" t="inlineStr">
        <is>
          <t>Action Required</t>
        </is>
      </c>
      <c r="H4" s="64" t="inlineStr">
        <is>
          <t>Owner</t>
        </is>
      </c>
    </row>
    <row r="5" ht="15" customHeight="1" s="52">
      <c r="A5" s="102" t="n"/>
      <c r="B5" s="100" t="n"/>
      <c r="C5" s="100" t="n"/>
      <c r="D5" s="100" t="n"/>
      <c r="E5" s="100" t="n"/>
      <c r="F5" s="100" t="n"/>
      <c r="G5" s="100" t="n"/>
      <c r="H5" s="100" t="n"/>
    </row>
    <row r="6" ht="15" customHeight="1" s="52">
      <c r="A6" s="102" t="n"/>
      <c r="B6" s="100" t="n"/>
      <c r="C6" s="100" t="n"/>
      <c r="D6" s="100" t="n"/>
      <c r="E6" s="100" t="n"/>
      <c r="F6" s="100" t="n"/>
      <c r="G6" s="100" t="n"/>
      <c r="H6" s="100" t="n"/>
    </row>
    <row r="7" ht="15" customHeight="1" s="52">
      <c r="A7" s="102" t="n"/>
      <c r="B7" s="100" t="n"/>
      <c r="C7" s="100" t="n"/>
      <c r="D7" s="100" t="n"/>
      <c r="E7" s="100" t="n"/>
      <c r="F7" s="100" t="n"/>
      <c r="G7" s="100" t="n"/>
      <c r="H7" s="100" t="n"/>
    </row>
    <row r="8" ht="15" customHeight="1" s="52">
      <c r="A8" s="102" t="n"/>
      <c r="B8" s="100" t="n"/>
      <c r="C8" s="100" t="n"/>
      <c r="D8" s="100" t="n"/>
      <c r="E8" s="100" t="n"/>
      <c r="F8" s="100" t="n"/>
      <c r="G8" s="100" t="n"/>
      <c r="H8" s="100" t="n"/>
    </row>
    <row r="9" ht="15" customHeight="1" s="52">
      <c r="A9" s="102" t="n"/>
      <c r="B9" s="100" t="n"/>
      <c r="C9" s="100" t="n"/>
      <c r="D9" s="100" t="n"/>
      <c r="E9" s="100" t="n"/>
      <c r="F9" s="100" t="n"/>
      <c r="G9" s="100" t="n"/>
      <c r="H9" s="100" t="n"/>
    </row>
    <row r="10" ht="15" customHeight="1" s="52">
      <c r="A10" s="102" t="n"/>
      <c r="B10" s="100" t="n"/>
      <c r="C10" s="100" t="n"/>
      <c r="D10" s="100" t="n"/>
      <c r="E10" s="100" t="n"/>
      <c r="F10" s="100" t="n"/>
      <c r="G10" s="100" t="n"/>
      <c r="H10" s="100" t="n"/>
    </row>
    <row r="11" ht="15" customHeight="1" s="52">
      <c r="A11" s="102" t="n"/>
      <c r="B11" s="100" t="n"/>
      <c r="C11" s="100" t="n"/>
      <c r="D11" s="100" t="n"/>
      <c r="E11" s="100" t="n"/>
      <c r="F11" s="100" t="n"/>
      <c r="G11" s="100" t="n"/>
      <c r="H11" s="100" t="n"/>
    </row>
    <row r="12" ht="15" customHeight="1" s="52">
      <c r="A12" s="102" t="n"/>
      <c r="B12" s="100" t="n"/>
      <c r="C12" s="100" t="n"/>
      <c r="D12" s="100" t="n"/>
      <c r="E12" s="100" t="n"/>
      <c r="F12" s="100" t="n"/>
      <c r="G12" s="100" t="n"/>
      <c r="H12" s="100" t="n"/>
    </row>
    <row r="13" ht="15" customHeight="1" s="52">
      <c r="A13" s="102" t="n"/>
      <c r="B13" s="100" t="n"/>
      <c r="C13" s="100" t="n"/>
      <c r="D13" s="100" t="n"/>
      <c r="E13" s="100" t="n"/>
      <c r="F13" s="100" t="n"/>
      <c r="G13" s="100" t="n"/>
      <c r="H13" s="100" t="n"/>
    </row>
    <row r="14" ht="15" customHeight="1" s="52">
      <c r="A14" s="102" t="n"/>
      <c r="B14" s="100" t="n"/>
      <c r="C14" s="100" t="n"/>
      <c r="D14" s="100" t="n"/>
      <c r="E14" s="100" t="n"/>
      <c r="F14" s="100" t="n"/>
      <c r="G14" s="100" t="n"/>
      <c r="H14" s="100" t="n"/>
    </row>
    <row r="15" ht="15" customHeight="1" s="52">
      <c r="A15" s="102" t="n"/>
      <c r="B15" s="100" t="n"/>
      <c r="C15" s="100" t="n"/>
      <c r="D15" s="100" t="n"/>
      <c r="E15" s="100" t="n"/>
      <c r="F15" s="100" t="n"/>
      <c r="G15" s="100" t="n"/>
      <c r="H15" s="100" t="n"/>
    </row>
    <row r="16" ht="15" customHeight="1" s="52">
      <c r="A16" s="102" t="n"/>
      <c r="B16" s="100" t="n"/>
      <c r="C16" s="100" t="n"/>
      <c r="D16" s="100" t="n"/>
      <c r="E16" s="100" t="n"/>
      <c r="F16" s="100" t="n"/>
      <c r="G16" s="100" t="n"/>
      <c r="H16" s="100" t="n"/>
    </row>
    <row r="17" ht="15" customHeight="1" s="52">
      <c r="A17" s="102" t="n"/>
      <c r="B17" s="100" t="n"/>
      <c r="C17" s="100" t="n"/>
      <c r="D17" s="100" t="n"/>
      <c r="E17" s="100" t="n"/>
      <c r="F17" s="100" t="n"/>
      <c r="G17" s="100" t="n"/>
      <c r="H17" s="100" t="n"/>
    </row>
    <row r="18" ht="15" customHeight="1" s="52">
      <c r="A18" s="102" t="n"/>
      <c r="B18" s="100" t="n"/>
      <c r="C18" s="100" t="n"/>
      <c r="D18" s="100" t="n"/>
      <c r="E18" s="100" t="n"/>
      <c r="F18" s="100" t="n"/>
      <c r="G18" s="100" t="n"/>
      <c r="H18" s="100" t="n"/>
    </row>
    <row r="19" ht="15" customHeight="1" s="52">
      <c r="A19" s="102" t="n"/>
      <c r="B19" s="100" t="n"/>
      <c r="C19" s="100" t="n"/>
      <c r="D19" s="100" t="n"/>
      <c r="E19" s="100" t="n"/>
      <c r="F19" s="100" t="n"/>
      <c r="G19" s="100" t="n"/>
      <c r="H19" s="100" t="n"/>
    </row>
    <row r="20" ht="15" customHeight="1" s="52">
      <c r="A20" s="102" t="n"/>
      <c r="B20" s="100" t="n"/>
      <c r="C20" s="100" t="n"/>
      <c r="D20" s="100" t="n"/>
      <c r="E20" s="100" t="n"/>
      <c r="F20" s="100" t="n"/>
      <c r="G20" s="100" t="n"/>
      <c r="H20" s="100" t="n"/>
    </row>
    <row r="21" ht="15" customHeight="1" s="52">
      <c r="A21" s="102" t="n"/>
      <c r="B21" s="100" t="n"/>
      <c r="C21" s="100" t="n"/>
      <c r="D21" s="100" t="n"/>
      <c r="E21" s="100" t="n"/>
      <c r="F21" s="100" t="n"/>
      <c r="G21" s="100" t="n"/>
      <c r="H21" s="100" t="n"/>
    </row>
    <row r="22" ht="15" customHeight="1" s="52">
      <c r="A22" s="102" t="n"/>
      <c r="B22" s="100" t="n"/>
      <c r="C22" s="100" t="n"/>
      <c r="D22" s="100" t="n"/>
      <c r="E22" s="100" t="n"/>
      <c r="F22" s="100" t="n"/>
      <c r="G22" s="100" t="n"/>
      <c r="H22" s="100" t="n"/>
    </row>
    <row r="23" ht="15" customHeight="1" s="52">
      <c r="A23" s="102" t="n"/>
      <c r="B23" s="100" t="n"/>
      <c r="C23" s="100" t="n"/>
      <c r="D23" s="100" t="n"/>
      <c r="E23" s="100" t="n"/>
      <c r="F23" s="100" t="n"/>
      <c r="G23" s="100" t="n"/>
      <c r="H23" s="100" t="n"/>
    </row>
    <row r="24" ht="15" customHeight="1" s="52">
      <c r="A24" s="102" t="n"/>
      <c r="B24" s="100" t="n"/>
      <c r="C24" s="100" t="n"/>
      <c r="D24" s="100" t="n"/>
      <c r="E24" s="100" t="n"/>
      <c r="F24" s="100" t="n"/>
      <c r="G24" s="100" t="n"/>
      <c r="H24" s="100" t="n"/>
    </row>
    <row r="25" ht="15" customHeight="1" s="52">
      <c r="A25" s="102" t="n"/>
      <c r="B25" s="100" t="n"/>
      <c r="C25" s="100" t="n"/>
      <c r="D25" s="100" t="n"/>
      <c r="E25" s="100" t="n"/>
      <c r="F25" s="100" t="n"/>
      <c r="G25" s="100" t="n"/>
      <c r="H25" s="100" t="n"/>
    </row>
    <row r="26" ht="15" customHeight="1" s="52">
      <c r="A26" s="102" t="n"/>
      <c r="B26" s="100" t="n"/>
      <c r="C26" s="100" t="n"/>
      <c r="D26" s="100" t="n"/>
      <c r="E26" s="100" t="n"/>
      <c r="F26" s="100" t="n"/>
      <c r="G26" s="100" t="n"/>
      <c r="H26" s="100" t="n"/>
    </row>
    <row r="27" ht="15" customHeight="1" s="52">
      <c r="A27" s="102" t="n"/>
      <c r="B27" s="100" t="n"/>
      <c r="C27" s="100" t="n"/>
      <c r="D27" s="100" t="n"/>
      <c r="E27" s="100" t="n"/>
      <c r="F27" s="100" t="n"/>
      <c r="G27" s="100" t="n"/>
      <c r="H27" s="100" t="n"/>
    </row>
    <row r="28" ht="15" customHeight="1" s="52">
      <c r="A28" s="102" t="n"/>
      <c r="B28" s="100" t="n"/>
      <c r="C28" s="100" t="n"/>
      <c r="D28" s="100" t="n"/>
      <c r="E28" s="100" t="n"/>
      <c r="F28" s="100" t="n"/>
      <c r="G28" s="100" t="n"/>
      <c r="H28" s="100" t="n"/>
    </row>
    <row r="29" ht="15" customHeight="1" s="52">
      <c r="A29" s="102" t="n"/>
      <c r="B29" s="100" t="n"/>
      <c r="C29" s="100" t="n"/>
      <c r="D29" s="100" t="n"/>
      <c r="E29" s="100" t="n"/>
      <c r="F29" s="100" t="n"/>
      <c r="G29" s="100" t="n"/>
      <c r="H29" s="100" t="n"/>
    </row>
    <row r="30" ht="15" customHeight="1" s="52">
      <c r="A30" s="102" t="n"/>
      <c r="B30" s="100" t="n"/>
      <c r="C30" s="100" t="n"/>
      <c r="D30" s="100" t="n"/>
      <c r="E30" s="100" t="n"/>
      <c r="F30" s="100" t="n"/>
      <c r="G30" s="100" t="n"/>
      <c r="H30" s="100" t="n"/>
    </row>
    <row r="31" ht="15" customHeight="1" s="52">
      <c r="A31" s="102" t="n"/>
      <c r="B31" s="100" t="n"/>
      <c r="C31" s="100" t="n"/>
      <c r="D31" s="100" t="n"/>
      <c r="E31" s="100" t="n"/>
      <c r="F31" s="100" t="n"/>
      <c r="G31" s="100" t="n"/>
      <c r="H31" s="100" t="n"/>
    </row>
    <row r="32" ht="15" customHeight="1" s="52">
      <c r="A32" s="102" t="n"/>
      <c r="B32" s="100" t="n"/>
      <c r="C32" s="100" t="n"/>
      <c r="D32" s="100" t="n"/>
      <c r="E32" s="100" t="n"/>
      <c r="F32" s="100" t="n"/>
      <c r="G32" s="100" t="n"/>
      <c r="H32" s="100" t="n"/>
    </row>
    <row r="33" ht="15" customHeight="1" s="52">
      <c r="A33" s="102" t="n"/>
      <c r="B33" s="100" t="n"/>
      <c r="C33" s="100" t="n"/>
      <c r="D33" s="100" t="n"/>
      <c r="E33" s="100" t="n"/>
      <c r="F33" s="100" t="n"/>
      <c r="G33" s="100" t="n"/>
      <c r="H33" s="100" t="n"/>
    </row>
    <row r="34" ht="15" customHeight="1" s="52">
      <c r="A34" s="102" t="n"/>
      <c r="B34" s="100" t="n"/>
      <c r="C34" s="100" t="n"/>
      <c r="D34" s="100" t="n"/>
      <c r="E34" s="100" t="n"/>
      <c r="F34" s="100" t="n"/>
      <c r="G34" s="100" t="n"/>
      <c r="H34" s="100" t="n"/>
    </row>
    <row r="35" ht="15" customHeight="1" s="52">
      <c r="A35" s="102" t="n"/>
      <c r="B35" s="100" t="n"/>
      <c r="C35" s="100" t="n"/>
      <c r="D35" s="100" t="n"/>
      <c r="E35" s="100" t="n"/>
      <c r="F35" s="100" t="n"/>
      <c r="G35" s="100" t="n"/>
      <c r="H35" s="100" t="n"/>
    </row>
    <row r="36" ht="15" customHeight="1" s="52">
      <c r="A36" s="102" t="n"/>
      <c r="B36" s="100" t="n"/>
      <c r="C36" s="100" t="n"/>
      <c r="D36" s="100" t="n"/>
      <c r="E36" s="100" t="n"/>
      <c r="F36" s="100" t="n"/>
      <c r="G36" s="100" t="n"/>
      <c r="H36" s="100" t="n"/>
    </row>
    <row r="37" ht="15" customHeight="1" s="52">
      <c r="A37" s="102" t="n"/>
      <c r="B37" s="100" t="n"/>
      <c r="C37" s="100" t="n"/>
      <c r="D37" s="100" t="n"/>
      <c r="E37" s="100" t="n"/>
      <c r="F37" s="100" t="n"/>
      <c r="G37" s="100" t="n"/>
      <c r="H37" s="100" t="n"/>
    </row>
    <row r="38" ht="15" customHeight="1" s="52">
      <c r="A38" s="102" t="n"/>
      <c r="B38" s="100" t="n"/>
      <c r="C38" s="100" t="n"/>
      <c r="D38" s="100" t="n"/>
      <c r="E38" s="100" t="n"/>
      <c r="F38" s="100" t="n"/>
      <c r="G38" s="100" t="n"/>
      <c r="H38" s="100" t="n"/>
    </row>
    <row r="39" ht="15" customHeight="1" s="52">
      <c r="A39" s="102" t="n"/>
      <c r="B39" s="100" t="n"/>
      <c r="C39" s="100" t="n"/>
      <c r="D39" s="100" t="n"/>
      <c r="E39" s="100" t="n"/>
      <c r="F39" s="100" t="n"/>
      <c r="G39" s="100" t="n"/>
      <c r="H39" s="100" t="n"/>
    </row>
    <row r="40" ht="15" customHeight="1" s="52">
      <c r="A40" s="102" t="n"/>
      <c r="B40" s="100" t="n"/>
      <c r="C40" s="100" t="n"/>
      <c r="D40" s="100" t="n"/>
      <c r="E40" s="100" t="n"/>
      <c r="F40" s="100" t="n"/>
      <c r="G40" s="100" t="n"/>
      <c r="H40" s="100" t="n"/>
    </row>
    <row r="41" ht="15" customHeight="1" s="52">
      <c r="A41" s="102" t="n"/>
      <c r="B41" s="100" t="n"/>
      <c r="C41" s="100" t="n"/>
      <c r="D41" s="100" t="n"/>
      <c r="E41" s="100" t="n"/>
      <c r="F41" s="100" t="n"/>
      <c r="G41" s="100" t="n"/>
      <c r="H41" s="100" t="n"/>
    </row>
    <row r="42" ht="15" customHeight="1" s="52">
      <c r="A42" s="102" t="n"/>
      <c r="B42" s="100" t="n"/>
      <c r="C42" s="100" t="n"/>
      <c r="D42" s="100" t="n"/>
      <c r="E42" s="100" t="n"/>
      <c r="F42" s="100" t="n"/>
      <c r="G42" s="100" t="n"/>
      <c r="H42" s="100" t="n"/>
    </row>
    <row r="43" ht="15" customHeight="1" s="52">
      <c r="A43" s="102" t="n"/>
      <c r="B43" s="100" t="n"/>
      <c r="C43" s="100" t="n"/>
      <c r="D43" s="100" t="n"/>
      <c r="E43" s="100" t="n"/>
      <c r="F43" s="100" t="n"/>
      <c r="G43" s="100" t="n"/>
      <c r="H43" s="100" t="n"/>
    </row>
    <row r="44" ht="15" customHeight="1" s="52">
      <c r="A44" s="102" t="n"/>
      <c r="B44" s="100" t="n"/>
      <c r="C44" s="100" t="n"/>
      <c r="D44" s="100" t="n"/>
      <c r="E44" s="100" t="n"/>
      <c r="F44" s="100" t="n"/>
      <c r="G44" s="100" t="n"/>
      <c r="H44" s="100" t="n"/>
    </row>
    <row r="45" ht="15" customHeight="1" s="52">
      <c r="A45" s="102" t="n"/>
      <c r="B45" s="100" t="n"/>
      <c r="C45" s="100" t="n"/>
      <c r="D45" s="100" t="n"/>
      <c r="E45" s="100" t="n"/>
      <c r="F45" s="100" t="n"/>
      <c r="G45" s="100" t="n"/>
      <c r="H45" s="100" t="n"/>
    </row>
    <row r="46" ht="15" customHeight="1" s="52">
      <c r="A46" s="102" t="n"/>
      <c r="B46" s="100" t="n"/>
      <c r="C46" s="100" t="n"/>
      <c r="D46" s="100" t="n"/>
      <c r="E46" s="100" t="n"/>
      <c r="F46" s="100" t="n"/>
      <c r="G46" s="100" t="n"/>
      <c r="H46" s="100" t="n"/>
    </row>
    <row r="47" ht="15" customHeight="1" s="52">
      <c r="A47" s="102" t="n"/>
      <c r="B47" s="100" t="n"/>
      <c r="C47" s="100" t="n"/>
      <c r="D47" s="100" t="n"/>
      <c r="E47" s="100" t="n"/>
      <c r="F47" s="100" t="n"/>
      <c r="G47" s="100" t="n"/>
      <c r="H47" s="100" t="n"/>
    </row>
    <row r="48" ht="15" customHeight="1" s="52">
      <c r="A48" s="102" t="n"/>
      <c r="B48" s="100" t="n"/>
      <c r="C48" s="100" t="n"/>
      <c r="D48" s="100" t="n"/>
      <c r="E48" s="100" t="n"/>
      <c r="F48" s="100" t="n"/>
      <c r="G48" s="100" t="n"/>
      <c r="H48" s="100" t="n"/>
    </row>
    <row r="49" ht="15" customHeight="1" s="52">
      <c r="A49" s="102" t="n"/>
      <c r="B49" s="100" t="n"/>
      <c r="C49" s="100" t="n"/>
      <c r="D49" s="100" t="n"/>
      <c r="E49" s="100" t="n"/>
      <c r="F49" s="100" t="n"/>
      <c r="G49" s="100" t="n"/>
      <c r="H49" s="100" t="n"/>
    </row>
    <row r="50" ht="15" customHeight="1" s="52">
      <c r="A50" s="102" t="n"/>
      <c r="B50" s="100" t="n"/>
      <c r="C50" s="100" t="n"/>
      <c r="D50" s="100" t="n"/>
      <c r="E50" s="100" t="n"/>
      <c r="F50" s="100" t="n"/>
      <c r="G50" s="100" t="n"/>
      <c r="H50" s="100" t="n"/>
    </row>
    <row r="51" ht="15" customHeight="1" s="52">
      <c r="A51" s="102" t="n"/>
      <c r="B51" s="100" t="n"/>
      <c r="C51" s="100" t="n"/>
      <c r="D51" s="100" t="n"/>
      <c r="E51" s="100" t="n"/>
      <c r="F51" s="100" t="n"/>
      <c r="G51" s="100" t="n"/>
      <c r="H51" s="100" t="n"/>
    </row>
    <row r="52" ht="15" customHeight="1" s="52">
      <c r="A52" s="102" t="n"/>
      <c r="B52" s="100" t="n"/>
      <c r="C52" s="100" t="n"/>
      <c r="D52" s="100" t="n"/>
      <c r="E52" s="100" t="n"/>
      <c r="F52" s="100" t="n"/>
      <c r="G52" s="100" t="n"/>
      <c r="H52" s="100" t="n"/>
    </row>
    <row r="53" ht="15" customHeight="1" s="52">
      <c r="A53" s="102" t="n"/>
      <c r="B53" s="100" t="n"/>
      <c r="C53" s="100" t="n"/>
      <c r="D53" s="100" t="n"/>
      <c r="E53" s="100" t="n"/>
      <c r="F53" s="100" t="n"/>
      <c r="G53" s="100" t="n"/>
      <c r="H53" s="100" t="n"/>
    </row>
    <row r="54" ht="15" customHeight="1" s="52">
      <c r="A54" s="102" t="n"/>
      <c r="B54" s="100" t="n"/>
      <c r="C54" s="100" t="n"/>
      <c r="D54" s="100" t="n"/>
      <c r="E54" s="100" t="n"/>
      <c r="F54" s="100" t="n"/>
      <c r="G54" s="100" t="n"/>
      <c r="H54" s="100" t="n"/>
    </row>
    <row r="55" ht="15" customHeight="1" s="52">
      <c r="A55" s="102" t="n"/>
      <c r="B55" s="100" t="n"/>
      <c r="C55" s="100" t="n"/>
      <c r="D55" s="100" t="n"/>
      <c r="E55" s="100" t="n"/>
      <c r="F55" s="100" t="n"/>
      <c r="G55" s="100" t="n"/>
      <c r="H55" s="100" t="n"/>
    </row>
    <row r="56" ht="15" customHeight="1" s="52">
      <c r="A56" s="102" t="n"/>
      <c r="B56" s="100" t="n"/>
      <c r="C56" s="100" t="n"/>
      <c r="D56" s="100" t="n"/>
      <c r="E56" s="100" t="n"/>
      <c r="F56" s="100" t="n"/>
      <c r="G56" s="100" t="n"/>
      <c r="H56" s="100" t="n"/>
    </row>
    <row r="57" ht="15" customHeight="1" s="52">
      <c r="A57" s="102" t="n"/>
      <c r="B57" s="100" t="n"/>
      <c r="C57" s="100" t="n"/>
      <c r="D57" s="100" t="n"/>
      <c r="E57" s="100" t="n"/>
      <c r="F57" s="100" t="n"/>
      <c r="G57" s="100" t="n"/>
      <c r="H57" s="100" t="n"/>
    </row>
    <row r="58" ht="15" customHeight="1" s="52">
      <c r="A58" s="102" t="n"/>
      <c r="B58" s="100" t="n"/>
      <c r="C58" s="100" t="n"/>
      <c r="D58" s="100" t="n"/>
      <c r="E58" s="100" t="n"/>
      <c r="F58" s="100" t="n"/>
      <c r="G58" s="100" t="n"/>
      <c r="H58" s="100" t="n"/>
    </row>
    <row r="59" ht="15" customHeight="1" s="52">
      <c r="A59" s="102" t="n"/>
      <c r="B59" s="100" t="n"/>
      <c r="C59" s="100" t="n"/>
      <c r="D59" s="100" t="n"/>
      <c r="E59" s="100" t="n"/>
      <c r="F59" s="100" t="n"/>
      <c r="G59" s="100" t="n"/>
      <c r="H59" s="100" t="n"/>
    </row>
    <row r="60" ht="15" customHeight="1" s="52">
      <c r="A60" s="102" t="n"/>
      <c r="B60" s="100" t="n"/>
      <c r="C60" s="100" t="n"/>
      <c r="D60" s="100" t="n"/>
      <c r="E60" s="100" t="n"/>
      <c r="F60" s="100" t="n"/>
      <c r="G60" s="100" t="n"/>
      <c r="H60" s="100" t="n"/>
    </row>
    <row r="61" ht="15" customHeight="1" s="52">
      <c r="A61" s="102" t="n"/>
      <c r="B61" s="100" t="n"/>
      <c r="C61" s="100" t="n"/>
      <c r="D61" s="100" t="n"/>
      <c r="E61" s="100" t="n"/>
      <c r="F61" s="100" t="n"/>
      <c r="G61" s="100" t="n"/>
      <c r="H61" s="100" t="n"/>
    </row>
    <row r="62" ht="15" customHeight="1" s="52">
      <c r="A62" s="102" t="n"/>
      <c r="B62" s="100" t="n"/>
      <c r="C62" s="100" t="n"/>
      <c r="D62" s="100" t="n"/>
      <c r="E62" s="100" t="n"/>
      <c r="F62" s="100" t="n"/>
      <c r="G62" s="100" t="n"/>
      <c r="H62" s="100" t="n"/>
    </row>
    <row r="63" ht="15" customHeight="1" s="52">
      <c r="A63" s="102" t="n"/>
      <c r="B63" s="100" t="n"/>
      <c r="C63" s="100" t="n"/>
      <c r="D63" s="100" t="n"/>
      <c r="E63" s="100" t="n"/>
      <c r="F63" s="100" t="n"/>
      <c r="G63" s="100" t="n"/>
      <c r="H63" s="100" t="n"/>
    </row>
    <row r="64" ht="15" customHeight="1" s="52">
      <c r="A64" s="102" t="n"/>
      <c r="B64" s="100" t="n"/>
      <c r="C64" s="100" t="n"/>
      <c r="D64" s="100" t="n"/>
      <c r="E64" s="100" t="n"/>
      <c r="F64" s="100" t="n"/>
      <c r="G64" s="100" t="n"/>
      <c r="H64" s="100" t="n"/>
    </row>
    <row r="65" ht="15" customHeight="1" s="52">
      <c r="A65" s="102" t="n"/>
      <c r="B65" s="100" t="n"/>
      <c r="C65" s="100" t="n"/>
      <c r="D65" s="100" t="n"/>
      <c r="E65" s="100" t="n"/>
      <c r="F65" s="100" t="n"/>
      <c r="G65" s="100" t="n"/>
      <c r="H65" s="100" t="n"/>
    </row>
    <row r="66" ht="15" customHeight="1" s="52">
      <c r="A66" s="102" t="n"/>
      <c r="B66" s="100" t="n"/>
      <c r="C66" s="100" t="n"/>
      <c r="D66" s="100" t="n"/>
      <c r="E66" s="100" t="n"/>
      <c r="F66" s="100" t="n"/>
      <c r="G66" s="100" t="n"/>
      <c r="H66" s="100" t="n"/>
    </row>
    <row r="67" ht="15" customHeight="1" s="52">
      <c r="A67" s="102" t="n"/>
      <c r="B67" s="100" t="n"/>
      <c r="C67" s="100" t="n"/>
      <c r="D67" s="100" t="n"/>
      <c r="E67" s="100" t="n"/>
      <c r="F67" s="100" t="n"/>
      <c r="G67" s="100" t="n"/>
      <c r="H67" s="100" t="n"/>
    </row>
    <row r="68" ht="15" customHeight="1" s="52">
      <c r="A68" s="102" t="n"/>
      <c r="B68" s="100" t="n"/>
      <c r="C68" s="100" t="n"/>
      <c r="D68" s="100" t="n"/>
      <c r="E68" s="100" t="n"/>
      <c r="F68" s="100" t="n"/>
      <c r="G68" s="100" t="n"/>
      <c r="H68" s="100" t="n"/>
    </row>
    <row r="69" ht="15" customHeight="1" s="52">
      <c r="A69" s="102" t="n"/>
      <c r="B69" s="100" t="n"/>
      <c r="C69" s="100" t="n"/>
      <c r="D69" s="100" t="n"/>
      <c r="E69" s="100" t="n"/>
      <c r="F69" s="100" t="n"/>
      <c r="G69" s="100" t="n"/>
      <c r="H69" s="100" t="n"/>
    </row>
    <row r="70" ht="15" customHeight="1" s="52">
      <c r="A70" s="102" t="n"/>
      <c r="B70" s="100" t="n"/>
      <c r="C70" s="100" t="n"/>
      <c r="D70" s="100" t="n"/>
      <c r="E70" s="100" t="n"/>
      <c r="F70" s="100" t="n"/>
      <c r="G70" s="100" t="n"/>
      <c r="H70" s="100" t="n"/>
    </row>
    <row r="71" ht="15" customHeight="1" s="52">
      <c r="A71" s="102" t="n"/>
      <c r="B71" s="100" t="n"/>
      <c r="C71" s="100" t="n"/>
      <c r="D71" s="100" t="n"/>
      <c r="E71" s="100" t="n"/>
      <c r="F71" s="100" t="n"/>
      <c r="G71" s="100" t="n"/>
      <c r="H71" s="100" t="n"/>
    </row>
    <row r="72" ht="15" customHeight="1" s="52">
      <c r="A72" s="102" t="n"/>
      <c r="B72" s="100" t="n"/>
      <c r="C72" s="100" t="n"/>
      <c r="D72" s="100" t="n"/>
      <c r="E72" s="100" t="n"/>
      <c r="F72" s="100" t="n"/>
      <c r="G72" s="100" t="n"/>
      <c r="H72" s="100" t="n"/>
    </row>
    <row r="73" ht="15" customHeight="1" s="52">
      <c r="A73" s="102" t="n"/>
      <c r="B73" s="100" t="n"/>
      <c r="C73" s="100" t="n"/>
      <c r="D73" s="100" t="n"/>
      <c r="E73" s="100" t="n"/>
      <c r="F73" s="100" t="n"/>
      <c r="G73" s="100" t="n"/>
      <c r="H73" s="100" t="n"/>
    </row>
    <row r="74" ht="15" customHeight="1" s="52">
      <c r="A74" s="102" t="n"/>
      <c r="B74" s="100" t="n"/>
      <c r="C74" s="100" t="n"/>
      <c r="D74" s="100" t="n"/>
      <c r="E74" s="100" t="n"/>
      <c r="F74" s="100" t="n"/>
      <c r="G74" s="100" t="n"/>
      <c r="H74" s="100" t="n"/>
    </row>
    <row r="75" ht="15" customHeight="1" s="52">
      <c r="A75" s="102" t="n"/>
      <c r="B75" s="100" t="n"/>
      <c r="C75" s="100" t="n"/>
      <c r="D75" s="100" t="n"/>
      <c r="E75" s="100" t="n"/>
      <c r="F75" s="100" t="n"/>
      <c r="G75" s="100" t="n"/>
      <c r="H75" s="100" t="n"/>
    </row>
    <row r="76" ht="15" customHeight="1" s="52">
      <c r="A76" s="102" t="n"/>
      <c r="B76" s="100" t="n"/>
      <c r="C76" s="100" t="n"/>
      <c r="D76" s="100" t="n"/>
      <c r="E76" s="100" t="n"/>
      <c r="F76" s="100" t="n"/>
      <c r="G76" s="100" t="n"/>
      <c r="H76" s="100" t="n"/>
    </row>
    <row r="77" ht="15" customHeight="1" s="52">
      <c r="A77" s="102" t="n"/>
      <c r="B77" s="100" t="n"/>
      <c r="C77" s="100" t="n"/>
      <c r="D77" s="100" t="n"/>
      <c r="E77" s="100" t="n"/>
      <c r="F77" s="100" t="n"/>
      <c r="G77" s="100" t="n"/>
      <c r="H77" s="100" t="n"/>
    </row>
    <row r="78" ht="15" customHeight="1" s="52">
      <c r="A78" s="102" t="n"/>
      <c r="B78" s="100" t="n"/>
      <c r="C78" s="100" t="n"/>
      <c r="D78" s="100" t="n"/>
      <c r="E78" s="100" t="n"/>
      <c r="F78" s="100" t="n"/>
      <c r="G78" s="100" t="n"/>
      <c r="H78" s="100" t="n"/>
    </row>
    <row r="79" ht="15" customHeight="1" s="52">
      <c r="A79" s="102" t="n"/>
      <c r="B79" s="100" t="n"/>
      <c r="C79" s="100" t="n"/>
      <c r="D79" s="100" t="n"/>
      <c r="E79" s="100" t="n"/>
      <c r="F79" s="100" t="n"/>
      <c r="G79" s="100" t="n"/>
      <c r="H79" s="100" t="n"/>
    </row>
    <row r="80" ht="15" customHeight="1" s="52">
      <c r="A80" s="102" t="n"/>
      <c r="B80" s="100" t="n"/>
      <c r="C80" s="100" t="n"/>
      <c r="D80" s="100" t="n"/>
      <c r="E80" s="100" t="n"/>
      <c r="F80" s="100" t="n"/>
      <c r="G80" s="100" t="n"/>
      <c r="H80" s="100" t="n"/>
    </row>
    <row r="81" ht="15" customHeight="1" s="52">
      <c r="A81" s="102" t="n"/>
      <c r="B81" s="100" t="n"/>
      <c r="C81" s="100" t="n"/>
      <c r="D81" s="100" t="n"/>
      <c r="E81" s="100" t="n"/>
      <c r="F81" s="100" t="n"/>
      <c r="G81" s="100" t="n"/>
      <c r="H81" s="100" t="n"/>
    </row>
    <row r="82" ht="15" customHeight="1" s="52">
      <c r="A82" s="102" t="n"/>
      <c r="B82" s="100" t="n"/>
      <c r="C82" s="100" t="n"/>
      <c r="D82" s="100" t="n"/>
      <c r="E82" s="100" t="n"/>
      <c r="F82" s="100" t="n"/>
      <c r="G82" s="100" t="n"/>
      <c r="H82" s="100" t="n"/>
    </row>
    <row r="83" ht="15" customHeight="1" s="52">
      <c r="A83" s="102" t="n"/>
      <c r="B83" s="100" t="n"/>
      <c r="C83" s="100" t="n"/>
      <c r="D83" s="100" t="n"/>
      <c r="E83" s="100" t="n"/>
      <c r="F83" s="100" t="n"/>
      <c r="G83" s="100" t="n"/>
      <c r="H83" s="100" t="n"/>
    </row>
    <row r="84" ht="15" customHeight="1" s="52">
      <c r="A84" s="102" t="n"/>
      <c r="B84" s="100" t="n"/>
      <c r="C84" s="100" t="n"/>
      <c r="D84" s="100" t="n"/>
      <c r="E84" s="100" t="n"/>
      <c r="F84" s="100" t="n"/>
      <c r="G84" s="100" t="n"/>
      <c r="H84" s="100" t="n"/>
    </row>
    <row r="85" ht="15" customHeight="1" s="52">
      <c r="A85" s="102" t="n"/>
      <c r="B85" s="100" t="n"/>
      <c r="C85" s="100" t="n"/>
      <c r="D85" s="100" t="n"/>
      <c r="E85" s="100" t="n"/>
      <c r="F85" s="100" t="n"/>
      <c r="G85" s="100" t="n"/>
      <c r="H85" s="100" t="n"/>
    </row>
    <row r="86" ht="15" customHeight="1" s="52">
      <c r="A86" s="102" t="n"/>
      <c r="B86" s="100" t="n"/>
      <c r="C86" s="100" t="n"/>
      <c r="D86" s="100" t="n"/>
      <c r="E86" s="100" t="n"/>
      <c r="F86" s="100" t="n"/>
      <c r="G86" s="100" t="n"/>
      <c r="H86" s="100" t="n"/>
    </row>
    <row r="87" ht="15" customHeight="1" s="52">
      <c r="A87" s="102" t="n"/>
      <c r="B87" s="100" t="n"/>
      <c r="C87" s="100" t="n"/>
      <c r="D87" s="100" t="n"/>
      <c r="E87" s="100" t="n"/>
      <c r="F87" s="100" t="n"/>
      <c r="G87" s="100" t="n"/>
      <c r="H87" s="100" t="n"/>
    </row>
    <row r="88" ht="15" customHeight="1" s="52">
      <c r="A88" s="102" t="n"/>
      <c r="B88" s="100" t="n"/>
      <c r="C88" s="100" t="n"/>
      <c r="D88" s="100" t="n"/>
      <c r="E88" s="100" t="n"/>
      <c r="F88" s="100" t="n"/>
      <c r="G88" s="100" t="n"/>
      <c r="H88" s="100" t="n"/>
    </row>
    <row r="89" ht="15" customHeight="1" s="52">
      <c r="A89" s="102" t="n"/>
      <c r="B89" s="100" t="n"/>
      <c r="C89" s="100" t="n"/>
      <c r="D89" s="100" t="n"/>
      <c r="E89" s="100" t="n"/>
      <c r="F89" s="100" t="n"/>
      <c r="G89" s="100" t="n"/>
      <c r="H89" s="100" t="n"/>
    </row>
    <row r="90" ht="15" customHeight="1" s="52">
      <c r="A90" s="102" t="n"/>
      <c r="B90" s="100" t="n"/>
      <c r="C90" s="100" t="n"/>
      <c r="D90" s="100" t="n"/>
      <c r="E90" s="100" t="n"/>
      <c r="F90" s="100" t="n"/>
      <c r="G90" s="100" t="n"/>
      <c r="H90" s="100" t="n"/>
    </row>
    <row r="91" ht="15" customHeight="1" s="52">
      <c r="A91" s="102" t="n"/>
      <c r="B91" s="100" t="n"/>
      <c r="C91" s="100" t="n"/>
      <c r="D91" s="100" t="n"/>
      <c r="E91" s="100" t="n"/>
      <c r="F91" s="100" t="n"/>
      <c r="G91" s="100" t="n"/>
      <c r="H91" s="100" t="n"/>
    </row>
    <row r="92" ht="15" customHeight="1" s="52">
      <c r="A92" s="102" t="n"/>
      <c r="B92" s="100" t="n"/>
      <c r="C92" s="100" t="n"/>
      <c r="D92" s="100" t="n"/>
      <c r="E92" s="100" t="n"/>
      <c r="F92" s="100" t="n"/>
      <c r="G92" s="100" t="n"/>
      <c r="H92" s="100" t="n"/>
    </row>
    <row r="93" ht="15" customHeight="1" s="52">
      <c r="A93" s="102" t="n"/>
      <c r="B93" s="100" t="n"/>
      <c r="C93" s="100" t="n"/>
      <c r="D93" s="100" t="n"/>
      <c r="E93" s="100" t="n"/>
      <c r="F93" s="100" t="n"/>
      <c r="G93" s="100" t="n"/>
      <c r="H93" s="100" t="n"/>
    </row>
    <row r="94" ht="15" customHeight="1" s="52">
      <c r="A94" s="102" t="n"/>
      <c r="B94" s="100" t="n"/>
      <c r="C94" s="100" t="n"/>
      <c r="D94" s="100" t="n"/>
      <c r="E94" s="100" t="n"/>
      <c r="F94" s="100" t="n"/>
      <c r="G94" s="100" t="n"/>
      <c r="H94" s="100" t="n"/>
    </row>
    <row r="95" ht="15" customHeight="1" s="52">
      <c r="A95" s="102" t="n"/>
      <c r="B95" s="100" t="n"/>
      <c r="C95" s="100" t="n"/>
      <c r="D95" s="100" t="n"/>
      <c r="E95" s="100" t="n"/>
      <c r="F95" s="100" t="n"/>
      <c r="G95" s="100" t="n"/>
      <c r="H95" s="100" t="n"/>
    </row>
    <row r="96" ht="15" customHeight="1" s="52">
      <c r="A96" s="102" t="n"/>
      <c r="B96" s="100" t="n"/>
      <c r="C96" s="100" t="n"/>
      <c r="D96" s="100" t="n"/>
      <c r="E96" s="100" t="n"/>
      <c r="F96" s="100" t="n"/>
      <c r="G96" s="100" t="n"/>
      <c r="H96" s="100" t="n"/>
    </row>
    <row r="97" ht="15" customHeight="1" s="52">
      <c r="A97" s="102" t="n"/>
      <c r="B97" s="100" t="n"/>
      <c r="C97" s="100" t="n"/>
      <c r="D97" s="100" t="n"/>
      <c r="E97" s="100" t="n"/>
      <c r="F97" s="100" t="n"/>
      <c r="G97" s="100" t="n"/>
      <c r="H97" s="100" t="n"/>
    </row>
    <row r="98" ht="15" customHeight="1" s="52">
      <c r="A98" s="102" t="n"/>
      <c r="B98" s="100" t="n"/>
      <c r="C98" s="100" t="n"/>
      <c r="D98" s="100" t="n"/>
      <c r="E98" s="100" t="n"/>
      <c r="F98" s="100" t="n"/>
      <c r="G98" s="100" t="n"/>
      <c r="H98" s="100" t="n"/>
    </row>
    <row r="99" ht="15" customHeight="1" s="52">
      <c r="A99" s="102" t="n"/>
      <c r="B99" s="100" t="n"/>
      <c r="C99" s="100" t="n"/>
      <c r="D99" s="100" t="n"/>
      <c r="E99" s="100" t="n"/>
      <c r="F99" s="100" t="n"/>
      <c r="G99" s="100" t="n"/>
      <c r="H99" s="100" t="n"/>
    </row>
    <row r="100" ht="15" customHeight="1" s="52">
      <c r="A100" s="102" t="n"/>
      <c r="B100" s="100" t="n"/>
      <c r="C100" s="100" t="n"/>
      <c r="D100" s="100" t="n"/>
      <c r="E100" s="100" t="n"/>
      <c r="F100" s="100" t="n"/>
      <c r="G100" s="100" t="n"/>
      <c r="H100" s="100" t="n"/>
    </row>
    <row r="101" ht="15" customHeight="1" s="52">
      <c r="A101" s="102" t="n"/>
      <c r="B101" s="100" t="n"/>
      <c r="C101" s="100" t="n"/>
      <c r="D101" s="100" t="n"/>
      <c r="E101" s="100" t="n"/>
      <c r="F101" s="100" t="n"/>
      <c r="G101" s="100" t="n"/>
      <c r="H101" s="100" t="n"/>
    </row>
    <row r="102" ht="15" customHeight="1" s="52">
      <c r="A102" s="102" t="n"/>
      <c r="B102" s="100" t="n"/>
      <c r="C102" s="100" t="n"/>
      <c r="D102" s="100" t="n"/>
      <c r="E102" s="100" t="n"/>
      <c r="F102" s="100" t="n"/>
      <c r="G102" s="100" t="n"/>
      <c r="H102" s="100" t="n"/>
    </row>
    <row r="103" ht="15" customHeight="1" s="52">
      <c r="A103" s="102" t="n"/>
      <c r="B103" s="100" t="n"/>
      <c r="C103" s="100" t="n"/>
      <c r="D103" s="100" t="n"/>
      <c r="E103" s="100" t="n"/>
      <c r="F103" s="100" t="n"/>
      <c r="G103" s="100" t="n"/>
      <c r="H103" s="100" t="n"/>
    </row>
    <row r="104" ht="15" customHeight="1" s="52">
      <c r="A104" s="102" t="n"/>
      <c r="B104" s="100" t="n"/>
      <c r="C104" s="100" t="n"/>
      <c r="D104" s="100" t="n"/>
      <c r="E104" s="100" t="n"/>
      <c r="F104" s="100" t="n"/>
      <c r="G104" s="100" t="n"/>
      <c r="H104" s="100" t="n"/>
    </row>
    <row r="105" ht="15" customHeight="1" s="52">
      <c r="A105" s="102" t="n"/>
      <c r="B105" s="100" t="n"/>
      <c r="C105" s="100" t="n"/>
      <c r="D105" s="100" t="n"/>
      <c r="E105" s="100" t="n"/>
      <c r="F105" s="100" t="n"/>
      <c r="G105" s="100" t="n"/>
      <c r="H105" s="100" t="n"/>
    </row>
    <row r="106" ht="15" customHeight="1" s="52">
      <c r="A106" s="102" t="n"/>
      <c r="B106" s="100" t="n"/>
      <c r="C106" s="100" t="n"/>
      <c r="D106" s="100" t="n"/>
      <c r="E106" s="100" t="n"/>
      <c r="F106" s="100" t="n"/>
      <c r="G106" s="100" t="n"/>
      <c r="H106" s="100" t="n"/>
    </row>
    <row r="107" ht="15" customHeight="1" s="52">
      <c r="A107" s="102" t="n"/>
      <c r="B107" s="100" t="n"/>
      <c r="C107" s="100" t="n"/>
      <c r="D107" s="100" t="n"/>
      <c r="E107" s="100" t="n"/>
      <c r="F107" s="100" t="n"/>
      <c r="G107" s="100" t="n"/>
      <c r="H107" s="100" t="n"/>
    </row>
    <row r="108" ht="15" customHeight="1" s="52">
      <c r="A108" s="102" t="n"/>
      <c r="B108" s="100" t="n"/>
      <c r="C108" s="100" t="n"/>
      <c r="D108" s="100" t="n"/>
      <c r="E108" s="100" t="n"/>
      <c r="F108" s="100" t="n"/>
      <c r="G108" s="100" t="n"/>
      <c r="H108" s="100" t="n"/>
    </row>
    <row r="109" ht="15" customHeight="1" s="52">
      <c r="A109" s="102" t="n"/>
      <c r="B109" s="100" t="n"/>
      <c r="C109" s="100" t="n"/>
      <c r="D109" s="100" t="n"/>
      <c r="E109" s="100" t="n"/>
      <c r="F109" s="100" t="n"/>
      <c r="G109" s="100" t="n"/>
      <c r="H109" s="100" t="n"/>
    </row>
    <row r="110" ht="15" customHeight="1" s="52">
      <c r="A110" s="102" t="n"/>
      <c r="B110" s="100" t="n"/>
      <c r="C110" s="100" t="n"/>
      <c r="D110" s="100" t="n"/>
      <c r="E110" s="100" t="n"/>
      <c r="F110" s="100" t="n"/>
      <c r="G110" s="100" t="n"/>
      <c r="H110" s="100" t="n"/>
    </row>
    <row r="111" ht="15" customHeight="1" s="52">
      <c r="A111" s="102" t="n"/>
      <c r="B111" s="100" t="n"/>
      <c r="C111" s="100" t="n"/>
      <c r="D111" s="100" t="n"/>
      <c r="E111" s="100" t="n"/>
      <c r="F111" s="100" t="n"/>
      <c r="G111" s="100" t="n"/>
      <c r="H111" s="100" t="n"/>
    </row>
    <row r="112" ht="15" customHeight="1" s="52">
      <c r="A112" s="102" t="n"/>
      <c r="B112" s="100" t="n"/>
      <c r="C112" s="100" t="n"/>
      <c r="D112" s="100" t="n"/>
      <c r="E112" s="100" t="n"/>
      <c r="F112" s="100" t="n"/>
      <c r="G112" s="100" t="n"/>
      <c r="H112" s="100" t="n"/>
    </row>
    <row r="113" ht="15" customHeight="1" s="52">
      <c r="A113" s="102" t="n"/>
      <c r="B113" s="100" t="n"/>
      <c r="C113" s="100" t="n"/>
      <c r="D113" s="100" t="n"/>
      <c r="E113" s="100" t="n"/>
      <c r="F113" s="100" t="n"/>
      <c r="G113" s="100" t="n"/>
      <c r="H113" s="100" t="n"/>
    </row>
    <row r="114" ht="15" customHeight="1" s="52">
      <c r="A114" s="102" t="n"/>
      <c r="B114" s="100" t="n"/>
      <c r="C114" s="100" t="n"/>
      <c r="D114" s="100" t="n"/>
      <c r="E114" s="100" t="n"/>
      <c r="F114" s="100" t="n"/>
      <c r="G114" s="100" t="n"/>
      <c r="H114" s="100" t="n"/>
    </row>
    <row r="115" ht="15" customHeight="1" s="52">
      <c r="A115" s="102" t="n"/>
      <c r="B115" s="100" t="n"/>
      <c r="C115" s="100" t="n"/>
      <c r="D115" s="100" t="n"/>
      <c r="E115" s="100" t="n"/>
      <c r="F115" s="100" t="n"/>
      <c r="G115" s="100" t="n"/>
      <c r="H115" s="100" t="n"/>
    </row>
    <row r="116" ht="15" customHeight="1" s="52">
      <c r="A116" s="102" t="n"/>
      <c r="B116" s="100" t="n"/>
      <c r="C116" s="100" t="n"/>
      <c r="D116" s="100" t="n"/>
      <c r="E116" s="100" t="n"/>
      <c r="F116" s="100" t="n"/>
      <c r="G116" s="100" t="n"/>
      <c r="H116" s="100" t="n"/>
    </row>
    <row r="117" ht="15" customHeight="1" s="52">
      <c r="A117" s="102" t="n"/>
      <c r="B117" s="100" t="n"/>
      <c r="C117" s="100" t="n"/>
      <c r="D117" s="100" t="n"/>
      <c r="E117" s="100" t="n"/>
      <c r="F117" s="100" t="n"/>
      <c r="G117" s="100" t="n"/>
      <c r="H117" s="100" t="n"/>
    </row>
    <row r="118" ht="15" customHeight="1" s="52">
      <c r="A118" s="102" t="n"/>
      <c r="B118" s="100" t="n"/>
      <c r="C118" s="100" t="n"/>
      <c r="D118" s="100" t="n"/>
      <c r="E118" s="100" t="n"/>
      <c r="F118" s="100" t="n"/>
      <c r="G118" s="100" t="n"/>
      <c r="H118" s="100" t="n"/>
    </row>
    <row r="119" ht="15" customHeight="1" s="52">
      <c r="A119" s="102" t="n"/>
      <c r="B119" s="100" t="n"/>
      <c r="C119" s="100" t="n"/>
      <c r="D119" s="100" t="n"/>
      <c r="E119" s="100" t="n"/>
      <c r="F119" s="100" t="n"/>
      <c r="G119" s="100" t="n"/>
      <c r="H119" s="100" t="n"/>
    </row>
    <row r="120" ht="15" customHeight="1" s="52">
      <c r="A120" s="102" t="n"/>
      <c r="B120" s="100" t="n"/>
      <c r="C120" s="100" t="n"/>
      <c r="D120" s="100" t="n"/>
      <c r="E120" s="100" t="n"/>
      <c r="F120" s="100" t="n"/>
      <c r="G120" s="100" t="n"/>
      <c r="H120" s="100" t="n"/>
    </row>
    <row r="121" ht="15" customHeight="1" s="52">
      <c r="A121" s="102" t="n"/>
      <c r="B121" s="100" t="n"/>
      <c r="C121" s="100" t="n"/>
      <c r="D121" s="100" t="n"/>
      <c r="E121" s="100" t="n"/>
      <c r="F121" s="100" t="n"/>
      <c r="G121" s="100" t="n"/>
      <c r="H121" s="100" t="n"/>
    </row>
    <row r="122" ht="15" customHeight="1" s="52">
      <c r="A122" s="102" t="n"/>
      <c r="B122" s="100" t="n"/>
      <c r="C122" s="100" t="n"/>
      <c r="D122" s="100" t="n"/>
      <c r="E122" s="100" t="n"/>
      <c r="F122" s="100" t="n"/>
      <c r="G122" s="100" t="n"/>
      <c r="H122" s="100" t="n"/>
    </row>
    <row r="123" ht="15" customHeight="1" s="52">
      <c r="A123" s="102" t="n"/>
      <c r="B123" s="100" t="n"/>
      <c r="C123" s="100" t="n"/>
      <c r="D123" s="100" t="n"/>
      <c r="E123" s="100" t="n"/>
      <c r="F123" s="100" t="n"/>
      <c r="G123" s="100" t="n"/>
      <c r="H123" s="100" t="n"/>
    </row>
    <row r="124" ht="15" customHeight="1" s="52">
      <c r="A124" s="102" t="n"/>
      <c r="B124" s="100" t="n"/>
      <c r="C124" s="100" t="n"/>
      <c r="D124" s="100" t="n"/>
      <c r="E124" s="100" t="n"/>
      <c r="F124" s="100" t="n"/>
      <c r="G124" s="100" t="n"/>
      <c r="H124" s="100" t="n"/>
    </row>
    <row r="125" ht="15" customHeight="1" s="52">
      <c r="A125" s="102" t="n"/>
      <c r="B125" s="100" t="n"/>
      <c r="C125" s="100" t="n"/>
      <c r="D125" s="100" t="n"/>
      <c r="E125" s="100" t="n"/>
      <c r="F125" s="100" t="n"/>
      <c r="G125" s="100" t="n"/>
      <c r="H125" s="100" t="n"/>
    </row>
    <row r="126" ht="15" customHeight="1" s="52">
      <c r="A126" s="102" t="n"/>
      <c r="B126" s="100" t="n"/>
      <c r="C126" s="100" t="n"/>
      <c r="D126" s="100" t="n"/>
      <c r="E126" s="100" t="n"/>
      <c r="F126" s="100" t="n"/>
      <c r="G126" s="100" t="n"/>
      <c r="H126" s="100" t="n"/>
    </row>
    <row r="127" ht="15" customHeight="1" s="52">
      <c r="A127" s="102" t="n"/>
      <c r="B127" s="100" t="n"/>
      <c r="C127" s="100" t="n"/>
      <c r="D127" s="100" t="n"/>
      <c r="E127" s="100" t="n"/>
      <c r="F127" s="100" t="n"/>
      <c r="G127" s="100" t="n"/>
      <c r="H127" s="100" t="n"/>
    </row>
    <row r="128" ht="15" customHeight="1" s="52">
      <c r="A128" s="102" t="n"/>
      <c r="B128" s="100" t="n"/>
      <c r="C128" s="100" t="n"/>
      <c r="D128" s="100" t="n"/>
      <c r="E128" s="100" t="n"/>
      <c r="F128" s="100" t="n"/>
      <c r="G128" s="100" t="n"/>
      <c r="H128" s="100" t="n"/>
    </row>
    <row r="129" ht="15" customHeight="1" s="52">
      <c r="A129" s="102" t="n"/>
      <c r="B129" s="100" t="n"/>
      <c r="C129" s="100" t="n"/>
      <c r="D129" s="100" t="n"/>
      <c r="E129" s="100" t="n"/>
      <c r="F129" s="100" t="n"/>
      <c r="G129" s="100" t="n"/>
      <c r="H129" s="100" t="n"/>
    </row>
    <row r="130" ht="15" customHeight="1" s="52">
      <c r="A130" s="102" t="n"/>
      <c r="B130" s="100" t="n"/>
      <c r="C130" s="100" t="n"/>
      <c r="D130" s="100" t="n"/>
      <c r="E130" s="100" t="n"/>
      <c r="F130" s="100" t="n"/>
      <c r="G130" s="100" t="n"/>
      <c r="H130" s="100" t="n"/>
    </row>
    <row r="131" ht="15" customHeight="1" s="52">
      <c r="A131" s="102" t="n"/>
      <c r="B131" s="100" t="n"/>
      <c r="C131" s="100" t="n"/>
      <c r="D131" s="100" t="n"/>
      <c r="E131" s="100" t="n"/>
      <c r="F131" s="100" t="n"/>
      <c r="G131" s="100" t="n"/>
      <c r="H131" s="100" t="n"/>
    </row>
    <row r="132" ht="15" customHeight="1" s="52">
      <c r="A132" s="102" t="n"/>
      <c r="B132" s="100" t="n"/>
      <c r="C132" s="100" t="n"/>
      <c r="D132" s="100" t="n"/>
      <c r="E132" s="100" t="n"/>
      <c r="F132" s="100" t="n"/>
      <c r="G132" s="100" t="n"/>
      <c r="H132" s="100" t="n"/>
    </row>
    <row r="133" ht="15" customHeight="1" s="52">
      <c r="A133" s="102" t="n"/>
      <c r="B133" s="100" t="n"/>
      <c r="C133" s="100" t="n"/>
      <c r="D133" s="100" t="n"/>
      <c r="E133" s="100" t="n"/>
      <c r="F133" s="100" t="n"/>
      <c r="G133" s="100" t="n"/>
      <c r="H133" s="100" t="n"/>
    </row>
    <row r="134" ht="15" customHeight="1" s="52">
      <c r="A134" s="102" t="n"/>
      <c r="B134" s="100" t="n"/>
      <c r="C134" s="100" t="n"/>
      <c r="D134" s="100" t="n"/>
      <c r="E134" s="100" t="n"/>
      <c r="F134" s="100" t="n"/>
      <c r="G134" s="100" t="n"/>
      <c r="H134" s="100" t="n"/>
    </row>
    <row r="135" ht="15" customHeight="1" s="52">
      <c r="A135" s="102" t="n"/>
      <c r="B135" s="100" t="n"/>
      <c r="C135" s="100" t="n"/>
      <c r="D135" s="100" t="n"/>
      <c r="E135" s="100" t="n"/>
      <c r="F135" s="100" t="n"/>
      <c r="G135" s="100" t="n"/>
      <c r="H135" s="100" t="n"/>
    </row>
    <row r="136" ht="15" customHeight="1" s="52">
      <c r="A136" s="102" t="n"/>
      <c r="B136" s="100" t="n"/>
      <c r="C136" s="100" t="n"/>
      <c r="D136" s="100" t="n"/>
      <c r="E136" s="100" t="n"/>
      <c r="F136" s="100" t="n"/>
      <c r="G136" s="100" t="n"/>
      <c r="H136" s="100" t="n"/>
    </row>
    <row r="137" ht="15" customHeight="1" s="52">
      <c r="A137" s="102" t="n"/>
      <c r="B137" s="100" t="n"/>
      <c r="C137" s="100" t="n"/>
      <c r="D137" s="100" t="n"/>
      <c r="E137" s="100" t="n"/>
      <c r="F137" s="100" t="n"/>
      <c r="G137" s="100" t="n"/>
      <c r="H137" s="100" t="n"/>
    </row>
    <row r="138" ht="15" customHeight="1" s="52">
      <c r="A138" s="102" t="n"/>
      <c r="B138" s="100" t="n"/>
      <c r="C138" s="100" t="n"/>
      <c r="D138" s="100" t="n"/>
      <c r="E138" s="100" t="n"/>
      <c r="F138" s="100" t="n"/>
      <c r="G138" s="100" t="n"/>
      <c r="H138" s="100" t="n"/>
    </row>
    <row r="139" ht="15" customHeight="1" s="52">
      <c r="A139" s="102" t="n"/>
      <c r="B139" s="100" t="n"/>
      <c r="C139" s="100" t="n"/>
      <c r="D139" s="100" t="n"/>
      <c r="E139" s="100" t="n"/>
      <c r="F139" s="100" t="n"/>
      <c r="G139" s="100" t="n"/>
      <c r="H139" s="100" t="n"/>
    </row>
    <row r="140" ht="15" customHeight="1" s="52">
      <c r="A140" s="102" t="n"/>
      <c r="B140" s="100" t="n"/>
      <c r="C140" s="100" t="n"/>
      <c r="D140" s="100" t="n"/>
      <c r="E140" s="100" t="n"/>
      <c r="F140" s="100" t="n"/>
      <c r="G140" s="100" t="n"/>
      <c r="H140" s="100" t="n"/>
    </row>
    <row r="141" ht="15" customHeight="1" s="52">
      <c r="A141" s="102" t="n"/>
      <c r="B141" s="100" t="n"/>
      <c r="C141" s="100" t="n"/>
      <c r="D141" s="100" t="n"/>
      <c r="E141" s="100" t="n"/>
      <c r="F141" s="100" t="n"/>
      <c r="G141" s="100" t="n"/>
      <c r="H141" s="100" t="n"/>
    </row>
    <row r="142" ht="15" customHeight="1" s="52">
      <c r="A142" s="102" t="n"/>
      <c r="B142" s="100" t="n"/>
      <c r="C142" s="100" t="n"/>
      <c r="D142" s="100" t="n"/>
      <c r="E142" s="100" t="n"/>
      <c r="F142" s="100" t="n"/>
      <c r="G142" s="100" t="n"/>
      <c r="H142" s="100" t="n"/>
    </row>
    <row r="143" ht="15" customHeight="1" s="52">
      <c r="A143" s="102" t="n"/>
      <c r="B143" s="100" t="n"/>
      <c r="C143" s="100" t="n"/>
      <c r="D143" s="100" t="n"/>
      <c r="E143" s="100" t="n"/>
      <c r="F143" s="100" t="n"/>
      <c r="G143" s="100" t="n"/>
      <c r="H143" s="100" t="n"/>
    </row>
    <row r="144" ht="15" customHeight="1" s="52">
      <c r="A144" s="102" t="n"/>
      <c r="B144" s="100" t="n"/>
      <c r="C144" s="100" t="n"/>
      <c r="D144" s="100" t="n"/>
      <c r="E144" s="100" t="n"/>
      <c r="F144" s="100" t="n"/>
      <c r="G144" s="100" t="n"/>
      <c r="H144" s="100" t="n"/>
    </row>
    <row r="145" ht="15" customHeight="1" s="52">
      <c r="A145" s="102" t="n"/>
      <c r="B145" s="100" t="n"/>
      <c r="C145" s="100" t="n"/>
      <c r="D145" s="100" t="n"/>
      <c r="E145" s="100" t="n"/>
      <c r="F145" s="100" t="n"/>
      <c r="G145" s="100" t="n"/>
      <c r="H145" s="100" t="n"/>
    </row>
    <row r="146" ht="15" customHeight="1" s="52">
      <c r="A146" s="102" t="n"/>
      <c r="B146" s="100" t="n"/>
      <c r="C146" s="100" t="n"/>
      <c r="D146" s="100" t="n"/>
      <c r="E146" s="100" t="n"/>
      <c r="F146" s="100" t="n"/>
      <c r="G146" s="100" t="n"/>
      <c r="H146" s="100" t="n"/>
    </row>
    <row r="147" ht="15" customHeight="1" s="52">
      <c r="A147" s="102" t="n"/>
      <c r="B147" s="100" t="n"/>
      <c r="C147" s="100" t="n"/>
      <c r="D147" s="100" t="n"/>
      <c r="E147" s="100" t="n"/>
      <c r="F147" s="100" t="n"/>
      <c r="G147" s="100" t="n"/>
      <c r="H147" s="100" t="n"/>
    </row>
    <row r="148" ht="15" customHeight="1" s="52">
      <c r="A148" s="102" t="n"/>
      <c r="B148" s="100" t="n"/>
      <c r="C148" s="100" t="n"/>
      <c r="D148" s="100" t="n"/>
      <c r="E148" s="100" t="n"/>
      <c r="F148" s="100" t="n"/>
      <c r="G148" s="100" t="n"/>
      <c r="H148" s="100" t="n"/>
    </row>
    <row r="149" ht="15" customHeight="1" s="52">
      <c r="A149" s="102" t="n"/>
      <c r="B149" s="100" t="n"/>
      <c r="C149" s="100" t="n"/>
      <c r="D149" s="100" t="n"/>
      <c r="E149" s="100" t="n"/>
      <c r="F149" s="100" t="n"/>
      <c r="G149" s="100" t="n"/>
      <c r="H149" s="100" t="n"/>
    </row>
    <row r="150" ht="15" customHeight="1" s="52">
      <c r="A150" s="102" t="n"/>
      <c r="B150" s="100" t="n"/>
      <c r="C150" s="100" t="n"/>
      <c r="D150" s="100" t="n"/>
      <c r="E150" s="100" t="n"/>
      <c r="F150" s="100" t="n"/>
      <c r="G150" s="100" t="n"/>
      <c r="H150" s="100" t="n"/>
    </row>
    <row r="151" ht="15" customHeight="1" s="52">
      <c r="A151" s="102" t="n"/>
      <c r="B151" s="100" t="n"/>
      <c r="C151" s="100" t="n"/>
      <c r="D151" s="100" t="n"/>
      <c r="E151" s="100" t="n"/>
      <c r="F151" s="100" t="n"/>
      <c r="G151" s="100" t="n"/>
      <c r="H151" s="100" t="n"/>
    </row>
    <row r="152" ht="15" customHeight="1" s="52">
      <c r="A152" s="102" t="n"/>
      <c r="B152" s="100" t="n"/>
      <c r="C152" s="100" t="n"/>
      <c r="D152" s="100" t="n"/>
      <c r="E152" s="100" t="n"/>
      <c r="F152" s="100" t="n"/>
      <c r="G152" s="100" t="n"/>
      <c r="H152" s="100" t="n"/>
    </row>
    <row r="153" ht="15" customHeight="1" s="52">
      <c r="A153" s="102" t="n"/>
      <c r="B153" s="100" t="n"/>
      <c r="C153" s="100" t="n"/>
      <c r="D153" s="100" t="n"/>
      <c r="E153" s="100" t="n"/>
      <c r="F153" s="100" t="n"/>
      <c r="G153" s="100" t="n"/>
      <c r="H153" s="100" t="n"/>
    </row>
    <row r="154" ht="15" customHeight="1" s="52">
      <c r="A154" s="102" t="n"/>
      <c r="B154" s="100" t="n"/>
      <c r="C154" s="100" t="n"/>
      <c r="D154" s="100" t="n"/>
      <c r="E154" s="100" t="n"/>
      <c r="F154" s="100" t="n"/>
      <c r="G154" s="100" t="n"/>
      <c r="H154" s="100" t="n"/>
    </row>
    <row r="155" ht="15" customHeight="1" s="52">
      <c r="A155" s="102" t="n"/>
      <c r="B155" s="100" t="n"/>
      <c r="C155" s="100" t="n"/>
      <c r="D155" s="100" t="n"/>
      <c r="E155" s="100" t="n"/>
      <c r="F155" s="100" t="n"/>
      <c r="G155" s="100" t="n"/>
      <c r="H155" s="100" t="n"/>
    </row>
    <row r="156" ht="15" customHeight="1" s="52">
      <c r="A156" s="102" t="n"/>
      <c r="B156" s="100" t="n"/>
      <c r="C156" s="100" t="n"/>
      <c r="D156" s="100" t="n"/>
      <c r="E156" s="100" t="n"/>
      <c r="F156" s="100" t="n"/>
      <c r="G156" s="100" t="n"/>
      <c r="H156" s="100" t="n"/>
    </row>
    <row r="157" ht="15" customHeight="1" s="52">
      <c r="A157" s="102" t="n"/>
      <c r="B157" s="100" t="n"/>
      <c r="C157" s="100" t="n"/>
      <c r="D157" s="100" t="n"/>
      <c r="E157" s="100" t="n"/>
      <c r="F157" s="100" t="n"/>
      <c r="G157" s="100" t="n"/>
      <c r="H157" s="100" t="n"/>
    </row>
    <row r="158" ht="15" customHeight="1" s="52">
      <c r="A158" s="102" t="n"/>
      <c r="B158" s="100" t="n"/>
      <c r="C158" s="100" t="n"/>
      <c r="D158" s="100" t="n"/>
      <c r="E158" s="100" t="n"/>
      <c r="F158" s="100" t="n"/>
      <c r="G158" s="100" t="n"/>
      <c r="H158" s="100" t="n"/>
    </row>
    <row r="159" ht="15" customHeight="1" s="52">
      <c r="A159" s="102" t="n"/>
      <c r="B159" s="100" t="n"/>
      <c r="C159" s="100" t="n"/>
      <c r="D159" s="100" t="n"/>
      <c r="E159" s="100" t="n"/>
      <c r="F159" s="100" t="n"/>
      <c r="G159" s="100" t="n"/>
      <c r="H159" s="100" t="n"/>
    </row>
    <row r="160" ht="15" customHeight="1" s="52">
      <c r="A160" s="102" t="n"/>
      <c r="B160" s="100" t="n"/>
      <c r="C160" s="100" t="n"/>
      <c r="D160" s="100" t="n"/>
      <c r="E160" s="100" t="n"/>
      <c r="F160" s="100" t="n"/>
      <c r="G160" s="100" t="n"/>
      <c r="H160" s="100" t="n"/>
    </row>
    <row r="161" ht="15" customHeight="1" s="52">
      <c r="A161" s="102" t="n"/>
      <c r="B161" s="100" t="n"/>
      <c r="C161" s="100" t="n"/>
      <c r="D161" s="100" t="n"/>
      <c r="E161" s="100" t="n"/>
      <c r="F161" s="100" t="n"/>
      <c r="G161" s="100" t="n"/>
      <c r="H161" s="100" t="n"/>
    </row>
    <row r="162" ht="15" customHeight="1" s="52">
      <c r="A162" s="102" t="n"/>
      <c r="B162" s="100" t="n"/>
      <c r="C162" s="100" t="n"/>
      <c r="D162" s="100" t="n"/>
      <c r="E162" s="100" t="n"/>
      <c r="F162" s="100" t="n"/>
      <c r="G162" s="100" t="n"/>
      <c r="H162" s="100" t="n"/>
    </row>
    <row r="163" ht="15" customHeight="1" s="52">
      <c r="A163" s="102" t="n"/>
      <c r="B163" s="100" t="n"/>
      <c r="C163" s="100" t="n"/>
      <c r="D163" s="100" t="n"/>
      <c r="E163" s="100" t="n"/>
      <c r="F163" s="100" t="n"/>
      <c r="G163" s="100" t="n"/>
      <c r="H163" s="100" t="n"/>
    </row>
    <row r="164" ht="15" customHeight="1" s="52">
      <c r="A164" s="102" t="n"/>
      <c r="B164" s="100" t="n"/>
      <c r="C164" s="100" t="n"/>
      <c r="D164" s="100" t="n"/>
      <c r="E164" s="100" t="n"/>
      <c r="F164" s="100" t="n"/>
      <c r="G164" s="100" t="n"/>
      <c r="H164" s="100" t="n"/>
    </row>
    <row r="165" ht="15" customHeight="1" s="52">
      <c r="A165" s="102" t="n"/>
      <c r="B165" s="100" t="n"/>
      <c r="C165" s="100" t="n"/>
      <c r="D165" s="100" t="n"/>
      <c r="E165" s="100" t="n"/>
      <c r="F165" s="100" t="n"/>
      <c r="G165" s="100" t="n"/>
      <c r="H165" s="100" t="n"/>
    </row>
    <row r="166" ht="15" customHeight="1" s="52">
      <c r="A166" s="102" t="n"/>
      <c r="B166" s="100" t="n"/>
      <c r="C166" s="100" t="n"/>
      <c r="D166" s="100" t="n"/>
      <c r="E166" s="100" t="n"/>
      <c r="F166" s="100" t="n"/>
      <c r="G166" s="100" t="n"/>
      <c r="H166" s="100" t="n"/>
    </row>
    <row r="167" ht="15" customHeight="1" s="52">
      <c r="A167" s="102" t="n"/>
      <c r="B167" s="100" t="n"/>
      <c r="C167" s="100" t="n"/>
      <c r="D167" s="100" t="n"/>
      <c r="E167" s="100" t="n"/>
      <c r="F167" s="100" t="n"/>
      <c r="G167" s="100" t="n"/>
      <c r="H167" s="100" t="n"/>
    </row>
    <row r="168" ht="15" customHeight="1" s="52">
      <c r="A168" s="102" t="n"/>
      <c r="B168" s="100" t="n"/>
      <c r="C168" s="100" t="n"/>
      <c r="D168" s="100" t="n"/>
      <c r="E168" s="100" t="n"/>
      <c r="F168" s="100" t="n"/>
      <c r="G168" s="100" t="n"/>
      <c r="H168" s="100" t="n"/>
    </row>
    <row r="169" ht="15" customHeight="1" s="52">
      <c r="A169" s="102" t="n"/>
      <c r="B169" s="100" t="n"/>
      <c r="C169" s="100" t="n"/>
      <c r="D169" s="100" t="n"/>
      <c r="E169" s="100" t="n"/>
      <c r="F169" s="100" t="n"/>
      <c r="G169" s="100" t="n"/>
      <c r="H169" s="100" t="n"/>
    </row>
    <row r="170" ht="15" customHeight="1" s="52">
      <c r="A170" s="102" t="n"/>
      <c r="B170" s="100" t="n"/>
      <c r="C170" s="100" t="n"/>
      <c r="D170" s="100" t="n"/>
      <c r="E170" s="100" t="n"/>
      <c r="F170" s="100" t="n"/>
      <c r="G170" s="100" t="n"/>
      <c r="H170" s="100" t="n"/>
    </row>
    <row r="171" ht="15" customHeight="1" s="52">
      <c r="A171" s="102" t="n"/>
      <c r="B171" s="100" t="n"/>
      <c r="C171" s="100" t="n"/>
      <c r="D171" s="100" t="n"/>
      <c r="E171" s="100" t="n"/>
      <c r="F171" s="100" t="n"/>
      <c r="G171" s="100" t="n"/>
      <c r="H171" s="100" t="n"/>
    </row>
    <row r="172" ht="15" customHeight="1" s="52">
      <c r="A172" s="102" t="n"/>
      <c r="B172" s="100" t="n"/>
      <c r="C172" s="100" t="n"/>
      <c r="D172" s="100" t="n"/>
      <c r="E172" s="100" t="n"/>
      <c r="F172" s="100" t="n"/>
      <c r="G172" s="100" t="n"/>
      <c r="H172" s="100" t="n"/>
    </row>
    <row r="173" ht="15" customHeight="1" s="52">
      <c r="A173" s="102" t="n"/>
      <c r="B173" s="100" t="n"/>
      <c r="C173" s="100" t="n"/>
      <c r="D173" s="100" t="n"/>
      <c r="E173" s="100" t="n"/>
      <c r="F173" s="100" t="n"/>
      <c r="G173" s="100" t="n"/>
      <c r="H173" s="100" t="n"/>
    </row>
    <row r="174" ht="15" customHeight="1" s="52">
      <c r="A174" s="102" t="n"/>
      <c r="B174" s="100" t="n"/>
      <c r="C174" s="100" t="n"/>
      <c r="D174" s="100" t="n"/>
      <c r="E174" s="100" t="n"/>
      <c r="F174" s="100" t="n"/>
      <c r="G174" s="100" t="n"/>
      <c r="H174" s="100" t="n"/>
    </row>
    <row r="175" ht="15" customHeight="1" s="52">
      <c r="A175" s="102" t="n"/>
      <c r="B175" s="100" t="n"/>
      <c r="C175" s="100" t="n"/>
      <c r="D175" s="100" t="n"/>
      <c r="E175" s="100" t="n"/>
      <c r="F175" s="100" t="n"/>
      <c r="G175" s="100" t="n"/>
      <c r="H175" s="100" t="n"/>
    </row>
    <row r="176" ht="15" customHeight="1" s="52">
      <c r="A176" s="102" t="n"/>
      <c r="B176" s="100" t="n"/>
      <c r="C176" s="100" t="n"/>
      <c r="D176" s="100" t="n"/>
      <c r="E176" s="100" t="n"/>
      <c r="F176" s="100" t="n"/>
      <c r="G176" s="100" t="n"/>
      <c r="H176" s="100" t="n"/>
    </row>
    <row r="177" ht="15" customHeight="1" s="52">
      <c r="A177" s="102" t="n"/>
      <c r="B177" s="100" t="n"/>
      <c r="C177" s="100" t="n"/>
      <c r="D177" s="100" t="n"/>
      <c r="E177" s="100" t="n"/>
      <c r="F177" s="100" t="n"/>
      <c r="G177" s="100" t="n"/>
      <c r="H177" s="100" t="n"/>
    </row>
    <row r="178" ht="15" customHeight="1" s="52">
      <c r="A178" s="102" t="n"/>
      <c r="B178" s="100" t="n"/>
      <c r="C178" s="100" t="n"/>
      <c r="D178" s="100" t="n"/>
      <c r="E178" s="100" t="n"/>
      <c r="F178" s="100" t="n"/>
      <c r="G178" s="100" t="n"/>
      <c r="H178" s="100" t="n"/>
    </row>
    <row r="179" ht="15" customHeight="1" s="52">
      <c r="A179" s="102" t="n"/>
      <c r="B179" s="100" t="n"/>
      <c r="C179" s="100" t="n"/>
      <c r="D179" s="100" t="n"/>
      <c r="E179" s="100" t="n"/>
      <c r="F179" s="100" t="n"/>
      <c r="G179" s="100" t="n"/>
      <c r="H179" s="100" t="n"/>
    </row>
    <row r="180" ht="15" customHeight="1" s="52">
      <c r="A180" s="102" t="n"/>
      <c r="B180" s="100" t="n"/>
      <c r="C180" s="100" t="n"/>
      <c r="D180" s="100" t="n"/>
      <c r="E180" s="100" t="n"/>
      <c r="F180" s="100" t="n"/>
      <c r="G180" s="100" t="n"/>
      <c r="H180" s="100" t="n"/>
    </row>
    <row r="181" ht="15" customHeight="1" s="52">
      <c r="A181" s="102" t="n"/>
      <c r="B181" s="100" t="n"/>
      <c r="C181" s="100" t="n"/>
      <c r="D181" s="100" t="n"/>
      <c r="E181" s="100" t="n"/>
      <c r="F181" s="100" t="n"/>
      <c r="G181" s="100" t="n"/>
      <c r="H181" s="100" t="n"/>
    </row>
    <row r="182" ht="15" customHeight="1" s="52">
      <c r="A182" s="102" t="n"/>
      <c r="B182" s="100" t="n"/>
      <c r="C182" s="100" t="n"/>
      <c r="D182" s="100" t="n"/>
      <c r="E182" s="100" t="n"/>
      <c r="F182" s="100" t="n"/>
      <c r="G182" s="100" t="n"/>
      <c r="H182" s="100" t="n"/>
    </row>
    <row r="183" ht="15" customHeight="1" s="52">
      <c r="A183" s="102" t="n"/>
      <c r="B183" s="100" t="n"/>
      <c r="C183" s="100" t="n"/>
      <c r="D183" s="100" t="n"/>
      <c r="E183" s="100" t="n"/>
      <c r="F183" s="100" t="n"/>
      <c r="G183" s="100" t="n"/>
      <c r="H183" s="100" t="n"/>
    </row>
    <row r="184" ht="15" customHeight="1" s="52">
      <c r="A184" s="102" t="n"/>
      <c r="B184" s="100" t="n"/>
      <c r="C184" s="100" t="n"/>
      <c r="D184" s="100" t="n"/>
      <c r="E184" s="100" t="n"/>
      <c r="F184" s="100" t="n"/>
      <c r="G184" s="100" t="n"/>
      <c r="H184" s="100" t="n"/>
    </row>
    <row r="185" ht="15" customHeight="1" s="52">
      <c r="A185" s="102" t="n"/>
      <c r="B185" s="100" t="n"/>
      <c r="C185" s="100" t="n"/>
      <c r="D185" s="100" t="n"/>
      <c r="E185" s="100" t="n"/>
      <c r="F185" s="100" t="n"/>
      <c r="G185" s="100" t="n"/>
      <c r="H185" s="100" t="n"/>
    </row>
    <row r="186" ht="15" customHeight="1" s="52">
      <c r="A186" s="102" t="n"/>
      <c r="B186" s="100" t="n"/>
      <c r="C186" s="100" t="n"/>
      <c r="D186" s="100" t="n"/>
      <c r="E186" s="100" t="n"/>
      <c r="F186" s="100" t="n"/>
      <c r="G186" s="100" t="n"/>
      <c r="H186" s="100" t="n"/>
    </row>
    <row r="187" ht="15" customHeight="1" s="52">
      <c r="A187" s="102" t="n"/>
      <c r="B187" s="100" t="n"/>
      <c r="C187" s="100" t="n"/>
      <c r="D187" s="100" t="n"/>
      <c r="E187" s="100" t="n"/>
      <c r="F187" s="100" t="n"/>
      <c r="G187" s="100" t="n"/>
      <c r="H187" s="100" t="n"/>
    </row>
    <row r="188" ht="15" customHeight="1" s="52">
      <c r="A188" s="102" t="n"/>
      <c r="B188" s="100" t="n"/>
      <c r="C188" s="100" t="n"/>
      <c r="D188" s="100" t="n"/>
      <c r="E188" s="100" t="n"/>
      <c r="F188" s="100" t="n"/>
      <c r="G188" s="100" t="n"/>
      <c r="H188" s="100" t="n"/>
    </row>
    <row r="189" ht="15" customHeight="1" s="52">
      <c r="A189" s="102" t="n"/>
      <c r="B189" s="100" t="n"/>
      <c r="C189" s="100" t="n"/>
      <c r="D189" s="100" t="n"/>
      <c r="E189" s="100" t="n"/>
      <c r="F189" s="100" t="n"/>
      <c r="G189" s="100" t="n"/>
      <c r="H189" s="100" t="n"/>
    </row>
    <row r="190" ht="15" customHeight="1" s="52">
      <c r="A190" s="102" t="n"/>
      <c r="B190" s="100" t="n"/>
      <c r="C190" s="100" t="n"/>
      <c r="D190" s="100" t="n"/>
      <c r="E190" s="100" t="n"/>
      <c r="F190" s="100" t="n"/>
      <c r="G190" s="100" t="n"/>
      <c r="H190" s="100" t="n"/>
    </row>
    <row r="191" ht="15" customHeight="1" s="52">
      <c r="A191" s="102" t="n"/>
      <c r="B191" s="100" t="n"/>
      <c r="C191" s="100" t="n"/>
      <c r="D191" s="100" t="n"/>
      <c r="E191" s="100" t="n"/>
      <c r="F191" s="100" t="n"/>
      <c r="G191" s="100" t="n"/>
      <c r="H191" s="100" t="n"/>
    </row>
    <row r="192" ht="15" customHeight="1" s="52">
      <c r="A192" s="102" t="n"/>
      <c r="B192" s="100" t="n"/>
      <c r="C192" s="100" t="n"/>
      <c r="D192" s="100" t="n"/>
      <c r="E192" s="100" t="n"/>
      <c r="F192" s="100" t="n"/>
      <c r="G192" s="100" t="n"/>
      <c r="H192" s="100" t="n"/>
    </row>
    <row r="193" ht="15" customHeight="1" s="52">
      <c r="A193" s="102" t="n"/>
      <c r="B193" s="100" t="n"/>
      <c r="C193" s="100" t="n"/>
      <c r="D193" s="100" t="n"/>
      <c r="E193" s="100" t="n"/>
      <c r="F193" s="100" t="n"/>
      <c r="G193" s="100" t="n"/>
      <c r="H193" s="100" t="n"/>
    </row>
    <row r="194" ht="15" customHeight="1" s="52">
      <c r="A194" s="102" t="n"/>
      <c r="B194" s="100" t="n"/>
      <c r="C194" s="100" t="n"/>
      <c r="D194" s="100" t="n"/>
      <c r="E194" s="100" t="n"/>
      <c r="F194" s="100" t="n"/>
      <c r="G194" s="100" t="n"/>
      <c r="H194" s="100" t="n"/>
    </row>
    <row r="195" ht="15" customHeight="1" s="52">
      <c r="A195" s="102" t="n"/>
      <c r="B195" s="100" t="n"/>
      <c r="C195" s="100" t="n"/>
      <c r="D195" s="100" t="n"/>
      <c r="E195" s="100" t="n"/>
      <c r="F195" s="100" t="n"/>
      <c r="G195" s="100" t="n"/>
      <c r="H195" s="100" t="n"/>
    </row>
    <row r="196" ht="15" customHeight="1" s="52">
      <c r="A196" s="102" t="n"/>
      <c r="B196" s="100" t="n"/>
      <c r="C196" s="100" t="n"/>
      <c r="D196" s="100" t="n"/>
      <c r="E196" s="100" t="n"/>
      <c r="F196" s="100" t="n"/>
      <c r="G196" s="100" t="n"/>
      <c r="H196" s="100" t="n"/>
    </row>
    <row r="197" ht="15" customHeight="1" s="52">
      <c r="A197" s="102" t="n"/>
      <c r="B197" s="100" t="n"/>
      <c r="C197" s="100" t="n"/>
      <c r="D197" s="100" t="n"/>
      <c r="E197" s="100" t="n"/>
      <c r="F197" s="100" t="n"/>
      <c r="G197" s="100" t="n"/>
      <c r="H197" s="100" t="n"/>
    </row>
    <row r="198" ht="15" customHeight="1" s="52">
      <c r="A198" s="102" t="n"/>
      <c r="B198" s="100" t="n"/>
      <c r="C198" s="100" t="n"/>
      <c r="D198" s="100" t="n"/>
      <c r="E198" s="100" t="n"/>
      <c r="F198" s="100" t="n"/>
      <c r="G198" s="100" t="n"/>
      <c r="H198" s="100" t="n"/>
    </row>
    <row r="199" ht="15" customHeight="1" s="52">
      <c r="A199" s="102" t="n"/>
      <c r="B199" s="100" t="n"/>
      <c r="C199" s="100" t="n"/>
      <c r="D199" s="100" t="n"/>
      <c r="E199" s="100" t="n"/>
      <c r="F199" s="100" t="n"/>
      <c r="G199" s="100" t="n"/>
      <c r="H199" s="100" t="n"/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I7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1" min="1" max="1"/>
    <col width="32" customWidth="1" style="51" min="2" max="2"/>
    <col width="26" customWidth="1" style="51" min="3" max="3"/>
    <col width="38" customWidth="1" style="51" min="4" max="4"/>
    <col width="16" customWidth="1" style="51" min="5" max="6"/>
    <col width="28" customWidth="1" style="51" min="7" max="7"/>
    <col width="14" customWidth="1" style="51" min="8" max="9"/>
  </cols>
  <sheetData>
    <row r="1" ht="27.75" customHeight="1" s="52">
      <c r="A1" s="53" t="inlineStr">
        <is>
          <t xml:space="preserve">  SCREENINGS  —  All Partner Entities (Source of Truth)</t>
        </is>
      </c>
    </row>
    <row r="2" ht="21.75" customHeight="1" s="52">
      <c r="A2" s="54" t="inlineStr">
        <is>
          <t xml:space="preserve">  Col E (Screen Date Norm) is the date used by metrics. Edit textual screen dates in col D for display only.</t>
        </is>
      </c>
    </row>
    <row r="3"/>
    <row r="4" ht="30" customHeight="1" s="52">
      <c r="A4" s="64" t="inlineStr">
        <is>
          <t>#</t>
        </is>
      </c>
      <c r="B4" s="64" t="inlineStr">
        <is>
          <t>Company</t>
        </is>
      </c>
      <c r="C4" s="64" t="inlineStr">
        <is>
          <t>Primary Contact</t>
        </is>
      </c>
      <c r="D4" s="64" t="inlineStr">
        <is>
          <t>Set-Aside</t>
        </is>
      </c>
      <c r="E4" s="64" t="inlineStr">
        <is>
          <t>Screen Date (Norm)</t>
        </is>
      </c>
      <c r="F4" s="64" t="inlineStr">
        <is>
          <t>NDA Date</t>
        </is>
      </c>
      <c r="G4" s="64" t="inlineStr">
        <is>
          <t>Vertical</t>
        </is>
      </c>
      <c r="H4" s="64" t="inlineStr">
        <is>
          <t>Classification</t>
        </is>
      </c>
      <c r="I4" s="64" t="inlineStr">
        <is>
          <t>Screen Date (Display)</t>
        </is>
      </c>
    </row>
    <row r="5" ht="15" customHeight="1" s="52">
      <c r="A5" s="106" t="n">
        <v>1</v>
      </c>
      <c r="B5" s="107" t="inlineStr">
        <is>
          <t>AG Grace Inc.</t>
        </is>
      </c>
      <c r="C5" s="107" t="inlineStr">
        <is>
          <t>Susan Rouse</t>
        </is>
      </c>
      <c r="D5" s="107" t="inlineStr">
        <is>
          <t>SDVOSB / WOSB / CMMC-ATP / C3PAO</t>
        </is>
      </c>
      <c r="E5" s="108" t="n">
        <v>46112</v>
      </c>
      <c r="F5" s="108" t="n">
        <v>46038</v>
      </c>
      <c r="G5" s="107" t="inlineStr">
        <is>
          <t>Cyber / Fed Healthcare IT</t>
        </is>
      </c>
      <c r="H5" s="107" t="inlineStr">
        <is>
          <t>PRIORITY</t>
        </is>
      </c>
      <c r="I5" s="107" t="inlineStr">
        <is>
          <t>Pre-4/1/26</t>
        </is>
      </c>
    </row>
    <row r="6" ht="15" customHeight="1" s="52">
      <c r="A6" s="106" t="n">
        <v>2</v>
      </c>
      <c r="B6" s="107" t="inlineStr">
        <is>
          <t>DataCom Solutions</t>
        </is>
      </c>
      <c r="C6" s="107" t="inlineStr">
        <is>
          <t>Jerry Brooks</t>
        </is>
      </c>
      <c r="D6" s="107" t="inlineStr">
        <is>
          <t>SDVOSB / HUBZone / 8(a)</t>
        </is>
      </c>
      <c r="E6" s="108" t="n">
        <v>46112</v>
      </c>
      <c r="F6" s="108" t="n"/>
      <c r="G6" s="107" t="inlineStr">
        <is>
          <t>Federal IT / Cloud</t>
        </is>
      </c>
      <c r="H6" s="107" t="inlineStr">
        <is>
          <t>PRIORITY</t>
        </is>
      </c>
      <c r="I6" s="107" t="inlineStr">
        <is>
          <t>Pre-4/1/26</t>
        </is>
      </c>
    </row>
    <row r="7" ht="15" customHeight="1" s="52">
      <c r="A7" s="106" t="n">
        <v>3</v>
      </c>
      <c r="B7" s="107" t="inlineStr">
        <is>
          <t>Synovix</t>
        </is>
      </c>
      <c r="C7" s="107" t="inlineStr">
        <is>
          <t>Joe Green</t>
        </is>
      </c>
      <c r="D7" s="107" t="inlineStr">
        <is>
          <t>SDVOSB</t>
        </is>
      </c>
      <c r="E7" s="108" t="n">
        <v>46112</v>
      </c>
      <c r="F7" s="108" t="n"/>
      <c r="G7" s="107" t="inlineStr">
        <is>
          <t>Federal IT / Healthcare IT</t>
        </is>
      </c>
      <c r="H7" s="107" t="inlineStr">
        <is>
          <t>PRIORITY</t>
        </is>
      </c>
      <c r="I7" s="107" t="inlineStr">
        <is>
          <t>Pre-4/1/26</t>
        </is>
      </c>
    </row>
    <row r="8" ht="15" customHeight="1" s="52">
      <c r="A8" s="106" t="n">
        <v>4</v>
      </c>
      <c r="B8" s="107" t="inlineStr">
        <is>
          <t>theta LLC</t>
        </is>
      </c>
      <c r="C8" s="107" t="inlineStr">
        <is>
          <t>Mannie Iroanya</t>
        </is>
      </c>
      <c r="D8" s="107" t="inlineStr">
        <is>
          <t>8(a) / HUBZone</t>
        </is>
      </c>
      <c r="E8" s="108" t="n">
        <v>46131</v>
      </c>
      <c r="F8" s="108" t="n"/>
      <c r="G8" s="107" t="inlineStr">
        <is>
          <t>Fed Healthcare IT (CMS/HHS)</t>
        </is>
      </c>
      <c r="H8" s="107" t="inlineStr">
        <is>
          <t>PRIORITY</t>
        </is>
      </c>
      <c r="I8" s="107" t="inlineStr">
        <is>
          <t>4/19/2026</t>
        </is>
      </c>
    </row>
    <row r="9" ht="15" customHeight="1" s="52">
      <c r="A9" s="106" t="n">
        <v>5</v>
      </c>
      <c r="B9" s="107" t="inlineStr">
        <is>
          <t>AgileCare</t>
        </is>
      </c>
      <c r="C9" s="107" t="inlineStr">
        <is>
          <t>Marion Vanzie</t>
        </is>
      </c>
      <c r="D9" s="107" t="inlineStr">
        <is>
          <t>– (verify)</t>
        </is>
      </c>
      <c r="E9" s="108" t="n">
        <v>46131</v>
      </c>
      <c r="F9" s="108" t="n"/>
      <c r="G9" s="107" t="inlineStr">
        <is>
          <t>Healthcare IT</t>
        </is>
      </c>
      <c r="H9" s="107" t="inlineStr">
        <is>
          <t>PRIORITY</t>
        </is>
      </c>
      <c r="I9" s="107" t="inlineStr">
        <is>
          <t>4/19/2026</t>
        </is>
      </c>
    </row>
    <row r="10" ht="15" customHeight="1" s="52">
      <c r="A10" s="106" t="n">
        <v>6</v>
      </c>
      <c r="B10" s="107" t="inlineStr">
        <is>
          <t>SRFed</t>
        </is>
      </c>
      <c r="C10" s="107" t="inlineStr">
        <is>
          <t>Paul Scace</t>
        </is>
      </c>
      <c r="D10" s="107" t="inlineStr">
        <is>
          <t>SDVOSB</t>
        </is>
      </c>
      <c r="E10" s="108" t="n">
        <v>46135</v>
      </c>
      <c r="F10" s="108" t="n">
        <v>46148</v>
      </c>
      <c r="G10" s="107" t="inlineStr">
        <is>
          <t>Federal IT / GovCon</t>
        </is>
      </c>
      <c r="H10" s="107" t="inlineStr">
        <is>
          <t>PRIORITY</t>
        </is>
      </c>
      <c r="I10" s="107" t="inlineStr">
        <is>
          <t>4/23/2026</t>
        </is>
      </c>
    </row>
    <row r="11" ht="15" customHeight="1" s="52">
      <c r="A11" s="106" t="n">
        <v>7</v>
      </c>
      <c r="B11" s="107" t="inlineStr">
        <is>
          <t>Proksi Systems</t>
        </is>
      </c>
      <c r="C11" s="107" t="inlineStr">
        <is>
          <t>Riddhi Choksi</t>
        </is>
      </c>
      <c r="D11" s="107" t="inlineStr">
        <is>
          <t>8(a) / WOSB / EDWOSB / HUBZone</t>
        </is>
      </c>
      <c r="E11" s="108" t="n">
        <v>46139</v>
      </c>
      <c r="F11" s="108" t="n">
        <v>46148</v>
      </c>
      <c r="G11" s="107" t="inlineStr">
        <is>
          <t>Federal IT / Healthcare IT</t>
        </is>
      </c>
      <c r="H11" s="107" t="inlineStr">
        <is>
          <t>PRIORITY</t>
        </is>
      </c>
      <c r="I11" s="107" t="inlineStr">
        <is>
          <t>4/27/2026</t>
        </is>
      </c>
    </row>
    <row r="12" ht="15" customHeight="1" s="52">
      <c r="A12" s="106" t="n">
        <v>8</v>
      </c>
      <c r="B12" s="107" t="inlineStr">
        <is>
          <t>TES Consultants</t>
        </is>
      </c>
      <c r="C12" s="107" t="inlineStr">
        <is>
          <t>Elisabeth Nguyen</t>
        </is>
      </c>
      <c r="D12" s="107" t="inlineStr">
        <is>
          <t>8(a) / WOSB / EDWOSB</t>
        </is>
      </c>
      <c r="E12" s="108" t="n">
        <v>46140</v>
      </c>
      <c r="F12" s="108" t="n">
        <v>46141</v>
      </c>
      <c r="G12" s="107" t="inlineStr">
        <is>
          <t>Federal IT / Healthcare IT</t>
        </is>
      </c>
      <c r="H12" s="107" t="inlineStr">
        <is>
          <t>PRIORITY</t>
        </is>
      </c>
      <c r="I12" s="107" t="inlineStr">
        <is>
          <t>4/28/2026</t>
        </is>
      </c>
    </row>
    <row r="13" ht="15" customHeight="1" s="52">
      <c r="A13" s="106" t="n">
        <v>9</v>
      </c>
      <c r="B13" s="107" t="inlineStr">
        <is>
          <t>SAG / Strategic Alliances Group</t>
        </is>
      </c>
      <c r="C13" s="107" t="inlineStr">
        <is>
          <t>Sharon Jacobs</t>
        </is>
      </c>
      <c r="D13" s="107" t="inlineStr">
        <is>
          <t>SDVOSB / WOSB / MBE / DBE</t>
        </is>
      </c>
      <c r="E13" s="108" t="n">
        <v>46142</v>
      </c>
      <c r="F13" s="108" t="n">
        <v>46142</v>
      </c>
      <c r="G13" s="107" t="inlineStr">
        <is>
          <t>Federal IT / SLED</t>
        </is>
      </c>
      <c r="H13" s="107" t="inlineStr">
        <is>
          <t>PRIORITY</t>
        </is>
      </c>
      <c r="I13" s="107" t="inlineStr">
        <is>
          <t>4/30/2026</t>
        </is>
      </c>
    </row>
    <row r="14" ht="15" customHeight="1" s="52">
      <c r="A14" s="106" t="n">
        <v>10</v>
      </c>
      <c r="B14" s="107" t="inlineStr">
        <is>
          <t>ISG / Invicta Solutions Group</t>
        </is>
      </c>
      <c r="C14" s="107" t="inlineStr">
        <is>
          <t>Thomas Radcliffe</t>
        </is>
      </c>
      <c r="D14" s="107" t="inlineStr">
        <is>
          <t>SDVOSB</t>
        </is>
      </c>
      <c r="E14" s="108" t="n"/>
      <c r="F14" s="108" t="n">
        <v>46148</v>
      </c>
      <c r="G14" s="107" t="inlineStr">
        <is>
          <t>Federal IT</t>
        </is>
      </c>
      <c r="H14" s="107" t="inlineStr">
        <is>
          <t>PRIORITY</t>
        </is>
      </c>
      <c r="I14" s="107" t="inlineStr">
        <is>
          <t>–</t>
        </is>
      </c>
    </row>
    <row r="15" ht="15" customHeight="1" s="52">
      <c r="A15" s="106" t="n">
        <v>11</v>
      </c>
      <c r="B15" s="107" t="inlineStr">
        <is>
          <t>OMNI</t>
        </is>
      </c>
      <c r="C15" s="107" t="inlineStr">
        <is>
          <t>Jonathan Rendon</t>
        </is>
      </c>
      <c r="D15" s="107" t="inlineStr">
        <is>
          <t>SDVOSB</t>
        </is>
      </c>
      <c r="E15" s="108" t="n"/>
      <c r="F15" s="108" t="n"/>
      <c r="G15" s="107" t="inlineStr">
        <is>
          <t>Federal IT / VA</t>
        </is>
      </c>
      <c r="H15" s="107" t="inlineStr">
        <is>
          <t>PRIORITY</t>
        </is>
      </c>
      <c r="I15" s="107" t="inlineStr">
        <is>
          <t>–</t>
        </is>
      </c>
    </row>
    <row r="16" ht="15" customHeight="1" s="52">
      <c r="A16" s="106" t="n">
        <v>12</v>
      </c>
      <c r="B16" s="107" t="inlineStr">
        <is>
          <t>MTNT</t>
        </is>
      </c>
      <c r="C16" s="107" t="inlineStr">
        <is>
          <t>David Shearman</t>
        </is>
      </c>
      <c r="D16" s="107" t="inlineStr">
        <is>
          <t>ANC 8(a) – Tribal</t>
        </is>
      </c>
      <c r="E16" s="108" t="n">
        <v>46154</v>
      </c>
      <c r="F16" s="108" t="n"/>
      <c r="G16" s="107" t="inlineStr">
        <is>
          <t>IHS / HRSA / USDA Rural</t>
        </is>
      </c>
      <c r="H16" s="107" t="inlineStr">
        <is>
          <t>PRIORITY</t>
        </is>
      </c>
      <c r="I16" s="107" t="inlineStr">
        <is>
          <t>5/12/2026</t>
        </is>
      </c>
    </row>
    <row r="17" ht="15" customHeight="1" s="52">
      <c r="A17" s="106" t="n">
        <v>13</v>
      </c>
      <c r="B17" s="107" t="inlineStr">
        <is>
          <t>Copper River Technologies</t>
        </is>
      </c>
      <c r="C17" s="107" t="inlineStr">
        <is>
          <t>Bradley Halladay</t>
        </is>
      </c>
      <c r="D17" s="107" t="inlineStr">
        <is>
          <t>ANC 8(a) – Tribal</t>
        </is>
      </c>
      <c r="E17" s="108" t="n">
        <v>46154</v>
      </c>
      <c r="F17" s="108" t="n"/>
      <c r="G17" s="107" t="inlineStr">
        <is>
          <t>IHS EHR / Fed Healthcare IT</t>
        </is>
      </c>
      <c r="H17" s="107" t="inlineStr">
        <is>
          <t>PRIORITY</t>
        </is>
      </c>
      <c r="I17" s="107" t="inlineStr">
        <is>
          <t>5/12/2026</t>
        </is>
      </c>
    </row>
    <row r="18" ht="15" customHeight="1" s="52">
      <c r="A18" s="106" t="n">
        <v>14</v>
      </c>
      <c r="B18" s="107" t="inlineStr">
        <is>
          <t>West Point Security</t>
        </is>
      </c>
      <c r="C18" s="107" t="inlineStr">
        <is>
          <t>Norman Massry</t>
        </is>
      </c>
      <c r="D18" s="107" t="inlineStr">
        <is>
          <t>SDVOSB</t>
        </is>
      </c>
      <c r="E18" s="108" t="n">
        <v>46127</v>
      </c>
      <c r="F18" s="108" t="n">
        <v>46127</v>
      </c>
      <c r="G18" s="107" t="inlineStr">
        <is>
          <t>Cybersecurity / NY-NJ SLED</t>
        </is>
      </c>
      <c r="H18" s="107" t="inlineStr">
        <is>
          <t>PRIORITY</t>
        </is>
      </c>
      <c r="I18" s="107" t="inlineStr">
        <is>
          <t>Apr 2026</t>
        </is>
      </c>
    </row>
    <row r="19" ht="15" customHeight="1" s="52">
      <c r="A19" s="106" t="n">
        <v>15</v>
      </c>
      <c r="B19" s="107" t="inlineStr">
        <is>
          <t>Advocate IT</t>
        </is>
      </c>
      <c r="C19" s="107" t="inlineStr">
        <is>
          <t>Thomas Duffy</t>
        </is>
      </c>
      <c r="D19" s="107" t="inlineStr">
        <is>
          <t>HUBZone / DOBE</t>
        </is>
      </c>
      <c r="E19" s="108" t="n">
        <v>46127</v>
      </c>
      <c r="F19" s="108" t="n"/>
      <c r="G19" s="107" t="inlineStr">
        <is>
          <t>Federal IT / DoD (Ft. Meade)</t>
        </is>
      </c>
      <c r="H19" s="107" t="inlineStr">
        <is>
          <t>PRIORITY</t>
        </is>
      </c>
      <c r="I19" s="107" t="inlineStr">
        <is>
          <t>Apr 2026</t>
        </is>
      </c>
    </row>
    <row r="20" ht="15" customHeight="1" s="52">
      <c r="A20" s="106" t="n">
        <v>16</v>
      </c>
      <c r="B20" s="107" t="inlineStr">
        <is>
          <t>Apex Consulting</t>
        </is>
      </c>
      <c r="C20" s="107" t="inlineStr">
        <is>
          <t>Jacob Gadd</t>
        </is>
      </c>
      <c r="D20" s="107" t="inlineStr">
        <is>
          <t>VOSB</t>
        </is>
      </c>
      <c r="E20" s="108" t="n">
        <v>46139</v>
      </c>
      <c r="F20" s="108" t="n">
        <v>46141</v>
      </c>
      <c r="G20" s="107" t="inlineStr">
        <is>
          <t>–</t>
        </is>
      </c>
      <c r="H20" s="107" t="inlineStr">
        <is>
          <t>BENCH</t>
        </is>
      </c>
      <c r="I20" s="107" t="inlineStr">
        <is>
          <t>4/27/2026</t>
        </is>
      </c>
    </row>
    <row r="21" ht="15" customHeight="1" s="52">
      <c r="A21" s="106" t="n">
        <v>17</v>
      </c>
      <c r="B21" s="107" t="inlineStr">
        <is>
          <t>NetSecurely</t>
        </is>
      </c>
      <c r="C21" s="107" t="inlineStr">
        <is>
          <t>Josh Fonger</t>
        </is>
      </c>
      <c r="D21" s="107" t="inlineStr">
        <is>
          <t>–</t>
        </is>
      </c>
      <c r="E21" s="108" t="n">
        <v>46135</v>
      </c>
      <c r="F21" s="108" t="n">
        <v>46139</v>
      </c>
      <c r="G21" s="107" t="inlineStr">
        <is>
          <t>–</t>
        </is>
      </c>
      <c r="H21" s="107" t="inlineStr">
        <is>
          <t>BENCH</t>
        </is>
      </c>
      <c r="I21" s="107" t="inlineStr">
        <is>
          <t>4/23/2026</t>
        </is>
      </c>
    </row>
    <row r="22" ht="15" customHeight="1" s="52">
      <c r="A22" s="106" t="n">
        <v>18</v>
      </c>
      <c r="B22" s="107" t="inlineStr">
        <is>
          <t>Blue Rose Consulting</t>
        </is>
      </c>
      <c r="C22" s="107" t="inlineStr">
        <is>
          <t>Todd Weiler</t>
        </is>
      </c>
      <c r="D22" s="107" t="inlineStr">
        <is>
          <t>–</t>
        </is>
      </c>
      <c r="E22" s="108" t="n">
        <v>46139</v>
      </c>
      <c r="F22" s="108" t="n"/>
      <c r="G22" s="107" t="inlineStr">
        <is>
          <t>–</t>
        </is>
      </c>
      <c r="H22" s="107" t="inlineStr">
        <is>
          <t>BENCH</t>
        </is>
      </c>
      <c r="I22" s="107" t="inlineStr">
        <is>
          <t>4/27/2026</t>
        </is>
      </c>
    </row>
    <row r="23" ht="15" customHeight="1" s="52">
      <c r="A23" s="106" t="n">
        <v>19</v>
      </c>
      <c r="B23" s="107" t="inlineStr">
        <is>
          <t>AlphaTango</t>
        </is>
      </c>
      <c r="C23" s="107" t="inlineStr">
        <is>
          <t>Anna Olvera</t>
        </is>
      </c>
      <c r="D23" s="107" t="inlineStr">
        <is>
          <t>–</t>
        </is>
      </c>
      <c r="E23" s="108" t="n">
        <v>46140</v>
      </c>
      <c r="F23" s="108" t="n"/>
      <c r="G23" s="107" t="inlineStr">
        <is>
          <t>–</t>
        </is>
      </c>
      <c r="H23" s="107" t="inlineStr">
        <is>
          <t>BENCH</t>
        </is>
      </c>
      <c r="I23" s="107" t="inlineStr">
        <is>
          <t>4/28/2026</t>
        </is>
      </c>
    </row>
    <row r="24" ht="15" customHeight="1" s="52">
      <c r="A24" s="106" t="n">
        <v>20</v>
      </c>
      <c r="B24" s="107" t="inlineStr">
        <is>
          <t>GD Resources (GDR)</t>
        </is>
      </c>
      <c r="C24" s="107" t="inlineStr">
        <is>
          <t>Basso Ghee</t>
        </is>
      </c>
      <c r="D24" s="107" t="inlineStr">
        <is>
          <t>Maryland MBE / DBE / SBE</t>
        </is>
      </c>
      <c r="E24" s="108" t="n">
        <v>46132</v>
      </c>
      <c r="F24" s="108" t="n">
        <v>46142</v>
      </c>
      <c r="G24" s="107" t="inlineStr">
        <is>
          <t>–</t>
        </is>
      </c>
      <c r="H24" s="107" t="inlineStr">
        <is>
          <t>BENCH</t>
        </is>
      </c>
      <c r="I24" s="107" t="inlineStr">
        <is>
          <t>4/20/2026</t>
        </is>
      </c>
    </row>
    <row r="25" ht="15" customHeight="1" s="52">
      <c r="A25" s="106" t="n">
        <v>21</v>
      </c>
      <c r="B25" s="107" t="inlineStr">
        <is>
          <t>RDE</t>
        </is>
      </c>
      <c r="C25" s="107" t="inlineStr">
        <is>
          <t>C. Sullivan</t>
        </is>
      </c>
      <c r="D25" s="107" t="inlineStr">
        <is>
          <t>–</t>
        </is>
      </c>
      <c r="E25" s="108" t="n">
        <v>46146</v>
      </c>
      <c r="F25" s="108" t="n"/>
      <c r="G25" s="107" t="inlineStr">
        <is>
          <t>–</t>
        </is>
      </c>
      <c r="H25" s="107" t="inlineStr">
        <is>
          <t>BENCH</t>
        </is>
      </c>
      <c r="I25" s="107" t="inlineStr">
        <is>
          <t>5/4/2026</t>
        </is>
      </c>
    </row>
    <row r="26" ht="15" customHeight="1" s="52">
      <c r="A26" s="106" t="n">
        <v>22</v>
      </c>
      <c r="B26" s="107" t="inlineStr">
        <is>
          <t>CodeCypher</t>
        </is>
      </c>
      <c r="C26" s="107" t="inlineStr">
        <is>
          <t>Jeff Holmes</t>
        </is>
      </c>
      <c r="D26" s="107" t="inlineStr">
        <is>
          <t>–</t>
        </is>
      </c>
      <c r="E26" s="108" t="n">
        <v>46146</v>
      </c>
      <c r="F26" s="108" t="n"/>
      <c r="G26" s="107" t="inlineStr">
        <is>
          <t>–</t>
        </is>
      </c>
      <c r="H26" s="107" t="inlineStr">
        <is>
          <t>BENCH</t>
        </is>
      </c>
      <c r="I26" s="107" t="inlineStr">
        <is>
          <t>5/4/2026</t>
        </is>
      </c>
    </row>
    <row r="27" ht="15" customHeight="1" s="52">
      <c r="A27" s="106" t="n">
        <v>23</v>
      </c>
      <c r="B27" s="107" t="inlineStr">
        <is>
          <t>Jones &amp; Associates</t>
        </is>
      </c>
      <c r="C27" s="107" t="inlineStr">
        <is>
          <t>–</t>
        </is>
      </c>
      <c r="D27" s="107" t="inlineStr">
        <is>
          <t>SDVOSB / MBE / DBE</t>
        </is>
      </c>
      <c r="E27" s="108" t="n">
        <v>46112</v>
      </c>
      <c r="F27" s="108" t="n"/>
      <c r="G27" s="107" t="inlineStr">
        <is>
          <t>–</t>
        </is>
      </c>
      <c r="H27" s="107" t="inlineStr">
        <is>
          <t>BENCH</t>
        </is>
      </c>
      <c r="I27" s="107" t="inlineStr">
        <is>
          <t>Pre-4/1/26</t>
        </is>
      </c>
    </row>
    <row r="28" ht="15" customHeight="1" s="52">
      <c r="A28" s="106" t="n">
        <v>24</v>
      </c>
      <c r="B28" s="107" t="inlineStr">
        <is>
          <t>HumanEdge</t>
        </is>
      </c>
      <c r="C28" s="107" t="inlineStr">
        <is>
          <t>Russell Brown</t>
        </is>
      </c>
      <c r="D28" s="107" t="inlineStr">
        <is>
          <t>–</t>
        </is>
      </c>
      <c r="E28" s="108" t="n">
        <v>46127</v>
      </c>
      <c r="F28" s="108" t="n"/>
      <c r="G28" s="107" t="inlineStr">
        <is>
          <t>–</t>
        </is>
      </c>
      <c r="H28" s="107" t="inlineStr">
        <is>
          <t>WATCHLIST</t>
        </is>
      </c>
      <c r="I28" s="107" t="inlineStr">
        <is>
          <t>Apr 2026</t>
        </is>
      </c>
    </row>
    <row r="29" ht="15" customHeight="1" s="52">
      <c r="A29" s="106" t="n">
        <v>25</v>
      </c>
      <c r="B29" s="107" t="inlineStr">
        <is>
          <t>HumanEdge</t>
        </is>
      </c>
      <c r="C29" s="107" t="inlineStr">
        <is>
          <t>Sharee Legree</t>
        </is>
      </c>
      <c r="D29" s="107" t="inlineStr">
        <is>
          <t>–</t>
        </is>
      </c>
      <c r="E29" s="108" t="n">
        <v>46127</v>
      </c>
      <c r="F29" s="108" t="n"/>
      <c r="G29" s="107" t="inlineStr">
        <is>
          <t>–</t>
        </is>
      </c>
      <c r="H29" s="107" t="inlineStr">
        <is>
          <t>WATCHLIST</t>
        </is>
      </c>
      <c r="I29" s="107" t="inlineStr">
        <is>
          <t>Apr 2026</t>
        </is>
      </c>
    </row>
    <row r="30" ht="15" customHeight="1" s="52">
      <c r="A30" s="106" t="n">
        <v>26</v>
      </c>
      <c r="B30" s="107" t="inlineStr">
        <is>
          <t>BeehiveTech</t>
        </is>
      </c>
      <c r="C30" s="107" t="inlineStr">
        <is>
          <t>Patrick Simon</t>
        </is>
      </c>
      <c r="D30" s="107" t="inlineStr">
        <is>
          <t>–</t>
        </is>
      </c>
      <c r="E30" s="108" t="n">
        <v>46127</v>
      </c>
      <c r="F30" s="108" t="n"/>
      <c r="G30" s="107" t="inlineStr">
        <is>
          <t>–</t>
        </is>
      </c>
      <c r="H30" s="107" t="inlineStr">
        <is>
          <t>WATCHLIST</t>
        </is>
      </c>
      <c r="I30" s="107" t="inlineStr">
        <is>
          <t>Apr 2026</t>
        </is>
      </c>
    </row>
    <row r="31" ht="15" customHeight="1" s="52">
      <c r="A31" s="106" t="n">
        <v>27</v>
      </c>
      <c r="B31" s="107" t="inlineStr">
        <is>
          <t>IronCloud Government Services</t>
        </is>
      </c>
      <c r="C31" s="107" t="inlineStr">
        <is>
          <t>Jeffrey Brown</t>
        </is>
      </c>
      <c r="D31" s="107" t="inlineStr">
        <is>
          <t>–</t>
        </is>
      </c>
      <c r="E31" s="108" t="n">
        <v>46134</v>
      </c>
      <c r="F31" s="108" t="n">
        <v>46146</v>
      </c>
      <c r="G31" s="107" t="inlineStr">
        <is>
          <t>–</t>
        </is>
      </c>
      <c r="H31" s="107" t="inlineStr">
        <is>
          <t>WATCHLIST</t>
        </is>
      </c>
      <c r="I31" s="107" t="inlineStr">
        <is>
          <t>4/22/2026</t>
        </is>
      </c>
    </row>
    <row r="32" ht="15" customHeight="1" s="52">
      <c r="A32" s="106" t="n">
        <v>28</v>
      </c>
      <c r="B32" s="107" t="inlineStr">
        <is>
          <t>TDM Consultants</t>
        </is>
      </c>
      <c r="C32" s="107" t="inlineStr">
        <is>
          <t>Tony Macon</t>
        </is>
      </c>
      <c r="D32" s="107" t="inlineStr">
        <is>
          <t>–</t>
        </is>
      </c>
      <c r="E32" s="108" t="n">
        <v>46135</v>
      </c>
      <c r="F32" s="108" t="n">
        <v>46159</v>
      </c>
      <c r="G32" s="107" t="inlineStr">
        <is>
          <t>–</t>
        </is>
      </c>
      <c r="H32" s="107" t="inlineStr">
        <is>
          <t>WATCHLIST</t>
        </is>
      </c>
      <c r="I32" s="107" t="inlineStr">
        <is>
          <t>4/23/2026</t>
        </is>
      </c>
    </row>
    <row r="33" ht="15" customHeight="1" s="52">
      <c r="A33" s="106" t="n">
        <v>29</v>
      </c>
      <c r="B33" s="107" t="inlineStr">
        <is>
          <t>ResilientMind AI</t>
        </is>
      </c>
      <c r="C33" s="107" t="inlineStr">
        <is>
          <t>Joseph McGinty</t>
        </is>
      </c>
      <c r="D33" s="107" t="inlineStr">
        <is>
          <t>–</t>
        </is>
      </c>
      <c r="E33" s="108" t="n">
        <v>46138</v>
      </c>
      <c r="F33" s="108" t="n"/>
      <c r="G33" s="107" t="inlineStr">
        <is>
          <t>–</t>
        </is>
      </c>
      <c r="H33" s="107" t="inlineStr">
        <is>
          <t>WATCHLIST</t>
        </is>
      </c>
      <c r="I33" s="107" t="inlineStr">
        <is>
          <t>4/26/2026</t>
        </is>
      </c>
    </row>
    <row r="34" ht="15" customHeight="1" s="52">
      <c r="A34" s="106" t="n">
        <v>30</v>
      </c>
      <c r="B34" s="107" t="inlineStr">
        <is>
          <t>SirrahPathways</t>
        </is>
      </c>
      <c r="C34" s="107" t="inlineStr">
        <is>
          <t>Sheryl Houston</t>
        </is>
      </c>
      <c r="D34" s="107" t="inlineStr">
        <is>
          <t>–</t>
        </is>
      </c>
      <c r="E34" s="108" t="n">
        <v>46146</v>
      </c>
      <c r="F34" s="108" t="n"/>
      <c r="G34" s="107" t="inlineStr">
        <is>
          <t>–</t>
        </is>
      </c>
      <c r="H34" s="107" t="inlineStr">
        <is>
          <t>WATCHLIST</t>
        </is>
      </c>
      <c r="I34" s="107" t="inlineStr">
        <is>
          <t>5/4/2026</t>
        </is>
      </c>
    </row>
    <row r="35" ht="15" customHeight="1" s="52">
      <c r="A35" s="106" t="n">
        <v>31</v>
      </c>
      <c r="B35" s="107" t="inlineStr">
        <is>
          <t>ELCOMM</t>
        </is>
      </c>
      <c r="C35" s="107" t="inlineStr">
        <is>
          <t>Ellerbee</t>
        </is>
      </c>
      <c r="D35" s="107" t="inlineStr">
        <is>
          <t>–</t>
        </is>
      </c>
      <c r="E35" s="108" t="n">
        <v>46146</v>
      </c>
      <c r="F35" s="108" t="n"/>
      <c r="G35" s="107" t="inlineStr">
        <is>
          <t>–</t>
        </is>
      </c>
      <c r="H35" s="107" t="inlineStr">
        <is>
          <t>WATCHLIST</t>
        </is>
      </c>
      <c r="I35" s="107" t="inlineStr">
        <is>
          <t>5/4/2026</t>
        </is>
      </c>
    </row>
    <row r="36" ht="15" customHeight="1" s="52">
      <c r="A36" s="106" t="n">
        <v>32</v>
      </c>
      <c r="B36" s="107" t="inlineStr">
        <is>
          <t>FailProof Credit</t>
        </is>
      </c>
      <c r="C36" s="107" t="inlineStr">
        <is>
          <t>Justin Brown</t>
        </is>
      </c>
      <c r="D36" s="107" t="inlineStr">
        <is>
          <t>–</t>
        </is>
      </c>
      <c r="E36" s="108" t="n">
        <v>46127</v>
      </c>
      <c r="F36" s="108" t="n"/>
      <c r="G36" s="107" t="inlineStr">
        <is>
          <t>–</t>
        </is>
      </c>
      <c r="H36" s="107" t="inlineStr">
        <is>
          <t>WATCHLIST</t>
        </is>
      </c>
      <c r="I36" s="107" t="inlineStr">
        <is>
          <t>Apr 2026</t>
        </is>
      </c>
    </row>
    <row r="37" ht="15" customHeight="1" s="52">
      <c r="A37" s="106" t="n">
        <v>33</v>
      </c>
      <c r="B37" s="107" t="inlineStr">
        <is>
          <t>RTD</t>
        </is>
      </c>
      <c r="C37" s="107" t="inlineStr">
        <is>
          <t>James Wood</t>
        </is>
      </c>
      <c r="D37" s="107" t="inlineStr">
        <is>
          <t>–</t>
        </is>
      </c>
      <c r="E37" s="108" t="n">
        <v>46127</v>
      </c>
      <c r="F37" s="108" t="n"/>
      <c r="G37" s="107" t="inlineStr">
        <is>
          <t>–</t>
        </is>
      </c>
      <c r="H37" s="107" t="inlineStr">
        <is>
          <t>FILED</t>
        </is>
      </c>
      <c r="I37" s="107" t="inlineStr">
        <is>
          <t>Apr 2026</t>
        </is>
      </c>
    </row>
    <row r="38" ht="15" customHeight="1" s="52">
      <c r="A38" s="106" t="n">
        <v>34</v>
      </c>
      <c r="B38" s="107" t="inlineStr">
        <is>
          <t>Talantage</t>
        </is>
      </c>
      <c r="C38" s="107" t="inlineStr">
        <is>
          <t>Tasha Peck</t>
        </is>
      </c>
      <c r="D38" s="107" t="inlineStr">
        <is>
          <t>–</t>
        </is>
      </c>
      <c r="E38" s="108" t="n">
        <v>46127</v>
      </c>
      <c r="F38" s="108" t="n"/>
      <c r="G38" s="107" t="inlineStr">
        <is>
          <t>–</t>
        </is>
      </c>
      <c r="H38" s="107" t="inlineStr">
        <is>
          <t>FILED</t>
        </is>
      </c>
      <c r="I38" s="107" t="inlineStr">
        <is>
          <t>Apr 2026</t>
        </is>
      </c>
    </row>
    <row r="39" ht="15" customHeight="1" s="52">
      <c r="A39" s="106" t="n">
        <v>35</v>
      </c>
      <c r="B39" s="107" t="inlineStr">
        <is>
          <t>Vonis Consulting</t>
        </is>
      </c>
      <c r="C39" s="107" t="inlineStr">
        <is>
          <t>Iwona Przedpelska</t>
        </is>
      </c>
      <c r="D39" s="107" t="inlineStr">
        <is>
          <t>–</t>
        </is>
      </c>
      <c r="E39" s="108" t="n">
        <v>46127</v>
      </c>
      <c r="F39" s="108" t="n"/>
      <c r="G39" s="107" t="inlineStr">
        <is>
          <t>–</t>
        </is>
      </c>
      <c r="H39" s="107" t="inlineStr">
        <is>
          <t>FILED</t>
        </is>
      </c>
      <c r="I39" s="107" t="inlineStr">
        <is>
          <t>Apr 2026</t>
        </is>
      </c>
    </row>
    <row r="40" ht="15" customHeight="1" s="52">
      <c r="A40" s="106" t="n">
        <v>36</v>
      </c>
      <c r="B40" s="107" t="inlineStr">
        <is>
          <t>CadenceProcurement</t>
        </is>
      </c>
      <c r="C40" s="107" t="inlineStr">
        <is>
          <t>Shaneiqua Johnson</t>
        </is>
      </c>
      <c r="D40" s="107" t="inlineStr">
        <is>
          <t>–</t>
        </is>
      </c>
      <c r="E40" s="108" t="n">
        <v>46127</v>
      </c>
      <c r="F40" s="108" t="n"/>
      <c r="G40" s="107" t="inlineStr">
        <is>
          <t>–</t>
        </is>
      </c>
      <c r="H40" s="107" t="inlineStr">
        <is>
          <t>FILED</t>
        </is>
      </c>
      <c r="I40" s="107" t="inlineStr">
        <is>
          <t>Apr 2026</t>
        </is>
      </c>
    </row>
    <row r="41" ht="15" customHeight="1" s="52">
      <c r="A41" s="106" t="n">
        <v>37</v>
      </c>
      <c r="B41" s="107" t="inlineStr">
        <is>
          <t>KeystoneGeneral</t>
        </is>
      </c>
      <c r="C41" s="107" t="inlineStr">
        <is>
          <t>Bryan Read</t>
        </is>
      </c>
      <c r="D41" s="107" t="inlineStr">
        <is>
          <t>–</t>
        </is>
      </c>
      <c r="E41" s="108" t="n">
        <v>46127</v>
      </c>
      <c r="F41" s="108" t="n"/>
      <c r="G41" s="107" t="inlineStr">
        <is>
          <t>–</t>
        </is>
      </c>
      <c r="H41" s="107" t="inlineStr">
        <is>
          <t>FILED</t>
        </is>
      </c>
      <c r="I41" s="107" t="inlineStr">
        <is>
          <t>Apr 2026</t>
        </is>
      </c>
    </row>
    <row r="42" ht="15" customHeight="1" s="52">
      <c r="A42" s="106" t="n">
        <v>38</v>
      </c>
      <c r="B42" s="107" t="inlineStr">
        <is>
          <t>Maywell Solutions</t>
        </is>
      </c>
      <c r="C42" s="107" t="inlineStr">
        <is>
          <t>Kofoworola Adeoti</t>
        </is>
      </c>
      <c r="D42" s="107" t="inlineStr">
        <is>
          <t>–</t>
        </is>
      </c>
      <c r="E42" s="108" t="n">
        <v>46127</v>
      </c>
      <c r="F42" s="108" t="n"/>
      <c r="G42" s="107" t="inlineStr">
        <is>
          <t>–</t>
        </is>
      </c>
      <c r="H42" s="107" t="inlineStr">
        <is>
          <t>FILED</t>
        </is>
      </c>
      <c r="I42" s="107" t="inlineStr">
        <is>
          <t>Apr 2026</t>
        </is>
      </c>
    </row>
    <row r="43" ht="15" customHeight="1" s="52">
      <c r="A43" s="106" t="n">
        <v>39</v>
      </c>
      <c r="B43" s="107" t="inlineStr">
        <is>
          <t>OMI</t>
        </is>
      </c>
      <c r="C43" s="107" t="inlineStr">
        <is>
          <t>Russell Brown</t>
        </is>
      </c>
      <c r="D43" s="107" t="inlineStr">
        <is>
          <t>–</t>
        </is>
      </c>
      <c r="E43" s="108" t="n">
        <v>46127</v>
      </c>
      <c r="F43" s="108" t="n"/>
      <c r="G43" s="107" t="inlineStr">
        <is>
          <t>–</t>
        </is>
      </c>
      <c r="H43" s="107" t="inlineStr">
        <is>
          <t>FILED</t>
        </is>
      </c>
      <c r="I43" s="107" t="inlineStr">
        <is>
          <t>Apr 2026</t>
        </is>
      </c>
    </row>
    <row r="44" ht="15" customHeight="1" s="52">
      <c r="A44" s="106" t="n">
        <v>40</v>
      </c>
      <c r="B44" s="107" t="inlineStr">
        <is>
          <t>AuraConsulting</t>
        </is>
      </c>
      <c r="C44" s="107" t="inlineStr">
        <is>
          <t>Anjali Singh</t>
        </is>
      </c>
      <c r="D44" s="107" t="inlineStr">
        <is>
          <t>–</t>
        </is>
      </c>
      <c r="E44" s="108" t="n">
        <v>46127</v>
      </c>
      <c r="F44" s="108" t="n"/>
      <c r="G44" s="107" t="inlineStr">
        <is>
          <t>–</t>
        </is>
      </c>
      <c r="H44" s="107" t="inlineStr">
        <is>
          <t>FILED</t>
        </is>
      </c>
      <c r="I44" s="107" t="inlineStr">
        <is>
          <t>Apr 2026</t>
        </is>
      </c>
    </row>
    <row r="45" ht="15" customHeight="1" s="52">
      <c r="A45" s="106" t="n">
        <v>41</v>
      </c>
      <c r="B45" s="107" t="inlineStr">
        <is>
          <t>EmeraldCyber</t>
        </is>
      </c>
      <c r="C45" s="107" t="inlineStr">
        <is>
          <t>Cassandra Pristas</t>
        </is>
      </c>
      <c r="D45" s="107" t="inlineStr">
        <is>
          <t>–</t>
        </is>
      </c>
      <c r="E45" s="108" t="n">
        <v>46127</v>
      </c>
      <c r="F45" s="108" t="n"/>
      <c r="G45" s="107" t="inlineStr">
        <is>
          <t>–</t>
        </is>
      </c>
      <c r="H45" s="107" t="inlineStr">
        <is>
          <t>FILED</t>
        </is>
      </c>
      <c r="I45" s="107" t="inlineStr">
        <is>
          <t>4/15/2026</t>
        </is>
      </c>
    </row>
    <row r="46" ht="15" customHeight="1" s="52">
      <c r="A46" s="106" t="n">
        <v>42</v>
      </c>
      <c r="B46" s="107" t="inlineStr">
        <is>
          <t>PTECH</t>
        </is>
      </c>
      <c r="C46" s="107" t="inlineStr">
        <is>
          <t>Jason Craig</t>
        </is>
      </c>
      <c r="D46" s="107" t="inlineStr">
        <is>
          <t>–</t>
        </is>
      </c>
      <c r="E46" s="108" t="n">
        <v>46132</v>
      </c>
      <c r="F46" s="108" t="n"/>
      <c r="G46" s="107" t="inlineStr">
        <is>
          <t>–</t>
        </is>
      </c>
      <c r="H46" s="107" t="inlineStr">
        <is>
          <t>FILED</t>
        </is>
      </c>
      <c r="I46" s="107" t="inlineStr">
        <is>
          <t>4/20/2026</t>
        </is>
      </c>
    </row>
    <row r="47" ht="15" customHeight="1" s="52">
      <c r="A47" s="106" t="n">
        <v>43</v>
      </c>
      <c r="B47" s="107" t="inlineStr">
        <is>
          <t>NetSecurely (Figueroa)</t>
        </is>
      </c>
      <c r="C47" s="107" t="inlineStr">
        <is>
          <t>Figueroa</t>
        </is>
      </c>
      <c r="D47" s="107" t="inlineStr">
        <is>
          <t>–</t>
        </is>
      </c>
      <c r="E47" s="108" t="n">
        <v>46127</v>
      </c>
      <c r="F47" s="108" t="n"/>
      <c r="G47" s="107" t="inlineStr">
        <is>
          <t>–</t>
        </is>
      </c>
      <c r="H47" s="107" t="inlineStr">
        <is>
          <t>FILED</t>
        </is>
      </c>
      <c r="I47" s="107" t="inlineStr">
        <is>
          <t>Apr 2026</t>
        </is>
      </c>
    </row>
    <row r="48" ht="15" customHeight="1" s="52">
      <c r="A48" s="106" t="n">
        <v>44</v>
      </c>
      <c r="B48" s="107" t="inlineStr">
        <is>
          <t>VALORtech</t>
        </is>
      </c>
      <c r="C48" s="107" t="inlineStr">
        <is>
          <t>–</t>
        </is>
      </c>
      <c r="D48" s="107" t="inlineStr">
        <is>
          <t>–</t>
        </is>
      </c>
      <c r="E48" s="108" t="n">
        <v>46127</v>
      </c>
      <c r="F48" s="108" t="n"/>
      <c r="G48" s="107" t="inlineStr">
        <is>
          <t>–</t>
        </is>
      </c>
      <c r="H48" s="107" t="inlineStr">
        <is>
          <t>FILED</t>
        </is>
      </c>
      <c r="I48" s="107" t="inlineStr">
        <is>
          <t>Apr 2026</t>
        </is>
      </c>
    </row>
    <row r="49" ht="15" customHeight="1" s="52">
      <c r="A49" s="106" t="n">
        <v>45</v>
      </c>
      <c r="B49" s="107" t="inlineStr">
        <is>
          <t>FortunaBMC</t>
        </is>
      </c>
      <c r="C49" s="107" t="inlineStr">
        <is>
          <t>Alice Parenti</t>
        </is>
      </c>
      <c r="D49" s="107" t="inlineStr">
        <is>
          <t>–</t>
        </is>
      </c>
      <c r="E49" s="108" t="n">
        <v>46127</v>
      </c>
      <c r="F49" s="108" t="n"/>
      <c r="G49" s="107" t="inlineStr">
        <is>
          <t>–</t>
        </is>
      </c>
      <c r="H49" s="107" t="inlineStr">
        <is>
          <t>FILED</t>
        </is>
      </c>
      <c r="I49" s="107" t="inlineStr">
        <is>
          <t>Apr 2026</t>
        </is>
      </c>
    </row>
    <row r="50" ht="15" customHeight="1" s="52">
      <c r="A50" s="106" t="n">
        <v>46</v>
      </c>
      <c r="B50" s="107" t="inlineStr">
        <is>
          <t>Grit Government Solutions</t>
        </is>
      </c>
      <c r="C50" s="107" t="inlineStr">
        <is>
          <t>Frank Culmone</t>
        </is>
      </c>
      <c r="D50" s="107" t="inlineStr">
        <is>
          <t>–</t>
        </is>
      </c>
      <c r="E50" s="108" t="n">
        <v>46127</v>
      </c>
      <c r="F50" s="108" t="n"/>
      <c r="G50" s="107" t="inlineStr">
        <is>
          <t>–</t>
        </is>
      </c>
      <c r="H50" s="107" t="inlineStr">
        <is>
          <t>FILED</t>
        </is>
      </c>
      <c r="I50" s="107" t="inlineStr">
        <is>
          <t>Apr 2026</t>
        </is>
      </c>
    </row>
    <row r="51" ht="15" customHeight="1" s="52">
      <c r="A51" s="106" t="n">
        <v>47</v>
      </c>
      <c r="B51" s="107" t="inlineStr">
        <is>
          <t>Candidate Solutions</t>
        </is>
      </c>
      <c r="C51" s="107" t="inlineStr">
        <is>
          <t>Linda Wiggins</t>
        </is>
      </c>
      <c r="D51" s="107" t="inlineStr">
        <is>
          <t>–</t>
        </is>
      </c>
      <c r="E51" s="108" t="n">
        <v>46127</v>
      </c>
      <c r="F51" s="108" t="n"/>
      <c r="G51" s="107" t="inlineStr">
        <is>
          <t>–</t>
        </is>
      </c>
      <c r="H51" s="107" t="inlineStr">
        <is>
          <t>FILED</t>
        </is>
      </c>
      <c r="I51" s="107" t="inlineStr">
        <is>
          <t>Apr 2026</t>
        </is>
      </c>
    </row>
    <row r="52" ht="15" customHeight="1" s="52">
      <c r="A52" s="106" t="n">
        <v>48</v>
      </c>
      <c r="B52" s="107" t="inlineStr">
        <is>
          <t>Novarens Systems</t>
        </is>
      </c>
      <c r="C52" s="107" t="inlineStr">
        <is>
          <t>Reginald Phillippes</t>
        </is>
      </c>
      <c r="D52" s="107" t="inlineStr">
        <is>
          <t>–</t>
        </is>
      </c>
      <c r="E52" s="108" t="n">
        <v>46127</v>
      </c>
      <c r="F52" s="108" t="n"/>
      <c r="G52" s="107" t="inlineStr">
        <is>
          <t>–</t>
        </is>
      </c>
      <c r="H52" s="107" t="inlineStr">
        <is>
          <t>FILED</t>
        </is>
      </c>
      <c r="I52" s="107" t="inlineStr">
        <is>
          <t>Apr 2026</t>
        </is>
      </c>
    </row>
    <row r="53" ht="23.25" customHeight="1" s="52">
      <c r="A53" s="106" t="n">
        <v>49</v>
      </c>
      <c r="B53" s="107" t="inlineStr">
        <is>
          <t>National Consulting Partners LLC (NCP)</t>
        </is>
      </c>
      <c r="C53" s="107" t="inlineStr">
        <is>
          <t>Matthew Robinson</t>
        </is>
      </c>
      <c r="D53" s="107" t="inlineStr">
        <is>
          <t>SDVOSB</t>
        </is>
      </c>
      <c r="E53" s="108" t="n">
        <v>46174</v>
      </c>
      <c r="F53" s="108" t="n"/>
      <c r="G53" s="107" t="inlineStr">
        <is>
          <t>Federal Healthcare IT / VA / Medicaid Modernization</t>
        </is>
      </c>
      <c r="H53" s="107" t="inlineStr">
        <is>
          <t>PRIORITY</t>
        </is>
      </c>
      <c r="I53" s="107" t="inlineStr">
        <is>
          <t>6/1/2026</t>
        </is>
      </c>
    </row>
    <row r="54" ht="23.25" customHeight="1" s="52">
      <c r="A54" s="106" t="n">
        <v>50</v>
      </c>
      <c r="B54" s="107" t="inlineStr">
        <is>
          <t>Ben Allegretti Consulting (BAC)</t>
        </is>
      </c>
      <c r="C54" s="107" t="inlineStr">
        <is>
          <t>Rixon Rafter, JD MA</t>
        </is>
      </c>
      <c r="D54" s="107" t="inlineStr">
        <is>
          <t>SDVOSB</t>
        </is>
      </c>
      <c r="E54" s="108" t="n">
        <v>46174</v>
      </c>
      <c r="F54" s="108" t="n"/>
      <c r="G54" s="107" t="inlineStr">
        <is>
          <t>Federal Healthcare IT / VA / VHA Informatics</t>
        </is>
      </c>
      <c r="H54" s="107" t="inlineStr">
        <is>
          <t>PRIORITY</t>
        </is>
      </c>
      <c r="I54" s="107" t="inlineStr">
        <is>
          <t>6/1/2026</t>
        </is>
      </c>
    </row>
    <row r="55" ht="23.25" customHeight="1" s="52">
      <c r="A55" s="106" t="n">
        <v>51</v>
      </c>
      <c r="B55" s="107" t="inlineStr">
        <is>
          <t>Kundlas Consulting Group LLC</t>
        </is>
      </c>
      <c r="C55" s="107" t="inlineStr">
        <is>
          <t>Mustafa Jan</t>
        </is>
      </c>
      <c r="D55" s="107" t="inlineStr">
        <is>
          <t>HUBZone / Indiana MBE / SWAM (VA) / MWBE (KY) / ISO 27001:2022</t>
        </is>
      </c>
      <c r="E55" s="108" t="n">
        <v>46168</v>
      </c>
      <c r="F55" s="108" t="n"/>
      <c r="G55" s="107" t="inlineStr">
        <is>
          <t>–</t>
        </is>
      </c>
      <c r="H55" s="107" t="inlineStr">
        <is>
          <t>BENCH</t>
        </is>
      </c>
      <c r="I55" s="107" t="inlineStr">
        <is>
          <t>5/26/2026</t>
        </is>
      </c>
    </row>
    <row r="56" ht="15" customHeight="1" s="52">
      <c r="A56" s="106" t="n">
        <v>52</v>
      </c>
      <c r="B56" s="107" t="inlineStr">
        <is>
          <t>Skilak Consulting LLC</t>
        </is>
      </c>
      <c r="C56" s="107" t="inlineStr">
        <is>
          <t>Faith Kannoju</t>
        </is>
      </c>
      <c r="D56" s="107" t="inlineStr">
        <is>
          <t>UNVERIFIED (call deferred)</t>
        </is>
      </c>
      <c r="E56" s="108" t="n">
        <v>46168</v>
      </c>
      <c r="F56" s="108" t="n"/>
      <c r="G56" s="107" t="inlineStr">
        <is>
          <t>–</t>
        </is>
      </c>
      <c r="H56" s="107" t="inlineStr">
        <is>
          <t>WATCHLIST</t>
        </is>
      </c>
      <c r="I56" s="107" t="inlineStr">
        <is>
          <t>5/26/2026</t>
        </is>
      </c>
    </row>
    <row r="57" ht="23.25" customHeight="1" s="52">
      <c r="A57" s="106" t="n">
        <v>53</v>
      </c>
      <c r="B57" s="107" t="inlineStr">
        <is>
          <t>Boots to Cyber (B2C) / Boots 2 Cyber LLC</t>
        </is>
      </c>
      <c r="C57" s="107" t="inlineStr">
        <is>
          <t>Cindy Gaddis</t>
        </is>
      </c>
      <c r="D57" s="107" t="inlineStr">
        <is>
          <t>–</t>
        </is>
      </c>
      <c r="E57" s="108" t="n">
        <v>46160</v>
      </c>
      <c r="F57" s="108" t="n"/>
      <c r="G57" s="107" t="inlineStr">
        <is>
          <t>–</t>
        </is>
      </c>
      <c r="H57" s="107" t="inlineStr">
        <is>
          <t>FILED</t>
        </is>
      </c>
      <c r="I57" s="107" t="inlineStr">
        <is>
          <t>5/18/2026</t>
        </is>
      </c>
    </row>
    <row r="58" ht="15" customHeight="1" s="52">
      <c r="A58" s="106" t="n">
        <v>54</v>
      </c>
      <c r="B58" s="107" t="inlineStr">
        <is>
          <t>C2C Service LLC</t>
        </is>
      </c>
      <c r="C58" s="107" t="inlineStr">
        <is>
          <t>Clarisa Trevino</t>
        </is>
      </c>
      <c r="D58" s="107" t="inlineStr">
        <is>
          <t>–</t>
        </is>
      </c>
      <c r="E58" s="108" t="n">
        <v>46171</v>
      </c>
      <c r="F58" s="108" t="n"/>
      <c r="G58" s="107" t="inlineStr">
        <is>
          <t>–</t>
        </is>
      </c>
      <c r="H58" s="107" t="inlineStr">
        <is>
          <t>FILED</t>
        </is>
      </c>
      <c r="I58" s="107" t="inlineStr">
        <is>
          <t>5/29/2026</t>
        </is>
      </c>
    </row>
    <row r="59" ht="15" customHeight="1" s="52">
      <c r="A59" s="106" t="n">
        <v>55</v>
      </c>
      <c r="B59" s="107" t="inlineStr">
        <is>
          <t>ImEx Cargo LLC</t>
        </is>
      </c>
      <c r="C59" s="107" t="inlineStr">
        <is>
          <t>Michelle DeFronzo</t>
        </is>
      </c>
      <c r="D59" s="107" t="inlineStr">
        <is>
          <t>–</t>
        </is>
      </c>
      <c r="E59" s="108" t="n">
        <v>46171</v>
      </c>
      <c r="F59" s="108" t="n"/>
      <c r="G59" s="107" t="inlineStr">
        <is>
          <t>–</t>
        </is>
      </c>
      <c r="H59" s="107" t="inlineStr">
        <is>
          <t>FILED</t>
        </is>
      </c>
      <c r="I59" s="107" t="inlineStr">
        <is>
          <t>5/29/2026</t>
        </is>
      </c>
    </row>
    <row r="60" ht="15" customHeight="1" s="52">
      <c r="A60" s="106" t="n">
        <v>56</v>
      </c>
      <c r="B60" s="107" t="inlineStr">
        <is>
          <t>Thorium One LLC</t>
        </is>
      </c>
      <c r="C60" s="107" t="inlineStr">
        <is>
          <t>Chad [Last Name TBC]</t>
        </is>
      </c>
      <c r="D60" s="107" t="inlineStr">
        <is>
          <t>–</t>
        </is>
      </c>
      <c r="E60" s="108" t="n">
        <v>46174</v>
      </c>
      <c r="F60" s="108" t="n"/>
      <c r="G60" s="107" t="inlineStr">
        <is>
          <t>–</t>
        </is>
      </c>
      <c r="H60" s="107" t="inlineStr">
        <is>
          <t>FILED</t>
        </is>
      </c>
      <c r="I60" s="107" t="inlineStr">
        <is>
          <t>6/1/2026</t>
        </is>
      </c>
    </row>
    <row r="61" ht="15" customHeight="1" s="52">
      <c r="A61" s="106" t="n">
        <v>57</v>
      </c>
      <c r="B61" s="107" t="inlineStr">
        <is>
          <t>Ben Allegretti Consulting (BAC)</t>
        </is>
      </c>
      <c r="C61" s="107" t="inlineStr">
        <is>
          <t>Rixon C. Rafter, VP</t>
        </is>
      </c>
      <c r="D61" s="107" t="inlineStr">
        <is>
          <t>SDVOSB</t>
        </is>
      </c>
      <c r="E61" s="108" t="n">
        <v>46174</v>
      </c>
      <c r="F61" s="108" t="n"/>
      <c r="G61" s="107" t="inlineStr">
        <is>
          <t>Federal Healthcare IT (VHA)</t>
        </is>
      </c>
      <c r="H61" s="107" t="inlineStr">
        <is>
          <t>PRIORITY</t>
        </is>
      </c>
      <c r="I61" s="107" t="inlineStr">
        <is>
          <t>6/1/2026</t>
        </is>
      </c>
    </row>
    <row r="62" ht="15" customHeight="1" s="52">
      <c r="A62" s="106" t="n">
        <v>58</v>
      </c>
      <c r="B62" s="107" t="inlineStr">
        <is>
          <t>National Consulting Partners (NCP)</t>
        </is>
      </c>
      <c r="C62" s="107" t="inlineStr">
        <is>
          <t>Matthew Robinson</t>
        </is>
      </c>
      <c r="D62" s="107" t="inlineStr">
        <is>
          <t>SDVOSB</t>
        </is>
      </c>
      <c r="E62" s="108" t="n">
        <v>46174</v>
      </c>
      <c r="F62" s="108" t="n"/>
      <c r="G62" s="107" t="inlineStr">
        <is>
          <t>Federal Healthcare IT (VA)</t>
        </is>
      </c>
      <c r="H62" s="107" t="inlineStr">
        <is>
          <t>PRIORITY</t>
        </is>
      </c>
      <c r="I62" s="107" t="inlineStr">
        <is>
          <t>6/1/2026</t>
        </is>
      </c>
    </row>
    <row r="63" ht="15" customHeight="1" s="52">
      <c r="A63" s="106" t="n">
        <v>59</v>
      </c>
      <c r="B63" s="107" t="inlineStr">
        <is>
          <t>Kymgoo Management LLC</t>
        </is>
      </c>
      <c r="C63" s="107" t="inlineStr">
        <is>
          <t>Kym Gooden</t>
        </is>
      </c>
      <c r="D63" s="107" t="inlineStr">
        <is>
          <t>EDWOSB / WOSB</t>
        </is>
      </c>
      <c r="E63" s="108" t="n">
        <v>46176</v>
      </c>
      <c r="F63" s="108" t="n"/>
      <c r="G63" s="107" t="inlineStr">
        <is>
          <t>Municipal infrastructure / logistics</t>
        </is>
      </c>
      <c r="H63" s="107" t="inlineStr">
        <is>
          <t>FILED</t>
        </is>
      </c>
      <c r="I63" s="107" t="inlineStr">
        <is>
          <t>6/3/2026</t>
        </is>
      </c>
    </row>
    <row r="64" ht="15" customHeight="1" s="52">
      <c r="A64" s="106" t="n">
        <v>60</v>
      </c>
      <c r="B64" s="107" t="inlineStr">
        <is>
          <t>Ladlas Prince LLC</t>
        </is>
      </c>
      <c r="C64" s="107" t="inlineStr">
        <is>
          <t>Amos O. Ajani</t>
        </is>
      </c>
      <c r="D64" s="107" t="inlineStr">
        <is>
          <t>SDVOSB / HUBZone</t>
        </is>
      </c>
      <c r="E64" s="108" t="n">
        <v>46176</v>
      </c>
      <c r="F64" s="108" t="n"/>
      <c r="G64" s="107" t="inlineStr">
        <is>
          <t>Advisory / audit</t>
        </is>
      </c>
      <c r="H64" s="107" t="inlineStr">
        <is>
          <t>FILED</t>
        </is>
      </c>
      <c r="I64" s="107" t="inlineStr">
        <is>
          <t>6/3/2026</t>
        </is>
      </c>
    </row>
    <row r="65" ht="15" customHeight="1" s="52">
      <c r="A65" s="106" t="n">
        <v>61</v>
      </c>
      <c r="B65" s="107" t="inlineStr">
        <is>
          <t>Munis Healthcare Mgmt Solutions</t>
        </is>
      </c>
      <c r="C65" s="107" t="inlineStr">
        <is>
          <t>Kavitha Premanand</t>
        </is>
      </c>
      <c r="D65" s="107" t="inlineStr">
        <is>
          <t>8(a)/WOSB (unverified)</t>
        </is>
      </c>
      <c r="E65" s="108" t="n">
        <v>46178</v>
      </c>
      <c r="F65" s="108" t="n"/>
      <c r="G65" s="107" t="inlineStr">
        <is>
          <t>Commercial life-sci advisory</t>
        </is>
      </c>
      <c r="H65" s="107" t="inlineStr">
        <is>
          <t>FILED</t>
        </is>
      </c>
      <c r="I65" s="107" t="inlineStr">
        <is>
          <t>6/5/2026</t>
        </is>
      </c>
    </row>
    <row r="66" ht="23.25" customHeight="1" s="52">
      <c r="A66" s="106" t="n">
        <v>62</v>
      </c>
      <c r="B66" s="107" t="inlineStr">
        <is>
          <t>NDS Ventures, LLC dba Artemis HCM</t>
        </is>
      </c>
      <c r="C66" s="107" t="inlineStr">
        <is>
          <t>Nick (Nicholas D.) Schutt — CEO</t>
        </is>
      </c>
      <c r="D66" s="107" t="inlineStr">
        <is>
          <t>– (VA LLC; staffing vendor)</t>
        </is>
      </c>
      <c r="E66" s="108" t="n">
        <v>46210</v>
      </c>
      <c r="F66" s="108" t="n"/>
      <c r="G66" s="107" t="inlineStr">
        <is>
          <t>GovCon Staffing / Recruiting (J4 LCAT sourcing)</t>
        </is>
      </c>
      <c r="H66" s="107" t="inlineStr">
        <is>
          <t>PENDING</t>
        </is>
      </c>
      <c r="I66" s="107" t="inlineStr">
        <is>
          <t>7/7/2026</t>
        </is>
      </c>
    </row>
    <row r="67" ht="23.25" customHeight="1" s="52">
      <c r="A67" s="106" t="n">
        <v>63</v>
      </c>
      <c r="B67" s="107" t="inlineStr">
        <is>
          <t>Zachary Piper Solutions, LLC</t>
        </is>
      </c>
      <c r="C67" s="107" t="inlineStr">
        <is>
          <t>Dave Ambrose — Sales Director</t>
        </is>
      </c>
      <c r="D67" s="107" t="inlineStr">
        <is>
          <t>–</t>
        </is>
      </c>
      <c r="E67" s="108" t="n">
        <v>46210</v>
      </c>
      <c r="F67" s="108" t="n">
        <v>46208</v>
      </c>
      <c r="G67" s="107" t="inlineStr">
        <is>
          <t>Cleared Staffing / GovCon Labor (J4 LCAT)</t>
        </is>
      </c>
      <c r="H67" s="107" t="inlineStr">
        <is>
          <t>PENDING</t>
        </is>
      </c>
      <c r="I67" s="107" t="inlineStr">
        <is>
          <t>7/7/2026</t>
        </is>
      </c>
    </row>
    <row r="68" ht="15" customHeight="1" s="52">
      <c r="A68" s="106" t="n">
        <v>64</v>
      </c>
      <c r="B68" s="107" t="inlineStr">
        <is>
          <t>Total Technology Solutions (TTS)</t>
        </is>
      </c>
      <c r="C68" s="107" t="inlineStr">
        <is>
          <t>Hesh Ansari, Ph.D., PMP</t>
        </is>
      </c>
      <c r="D68" s="107" t="inlineStr">
        <is>
          <t>8(a) / SDVOSB / VA SwaM</t>
        </is>
      </c>
      <c r="E68" s="108" t="n">
        <v>46239</v>
      </c>
      <c r="F68" s="108" t="n"/>
      <c r="G68" s="107" t="inlineStr">
        <is>
          <t>Federal IT / Health IT / VA</t>
        </is>
      </c>
      <c r="H68" s="107" t="inlineStr">
        <is>
          <t>PRIORITY</t>
        </is>
      </c>
      <c r="I68" s="107" t="inlineStr">
        <is>
          <t>8/5/2026</t>
        </is>
      </c>
    </row>
    <row r="69" ht="23.85" customHeight="1" s="52">
      <c r="A69" s="106" t="n">
        <v>65</v>
      </c>
      <c r="B69" s="107" t="inlineStr">
        <is>
          <t>Sampson, Jefferson &amp; Associates (SJA)</t>
        </is>
      </c>
      <c r="C69" s="107" t="inlineStr">
        <is>
          <t>Tiffanye Paige</t>
        </is>
      </c>
      <c r="D69" s="107" t="inlineStr">
        <is>
          <t>8(a) / WOSB</t>
        </is>
      </c>
      <c r="E69" s="108" t="n">
        <v>46239</v>
      </c>
      <c r="F69" s="108" t="n"/>
      <c r="G69" s="107" t="inlineStr">
        <is>
          <t>Healthcare QA / Mgmt Consulting — HHS/CMS corridor</t>
        </is>
      </c>
      <c r="H69" s="107" t="inlineStr">
        <is>
          <t>PRIORITY</t>
        </is>
      </c>
      <c r="I69" s="107" t="inlineStr">
        <is>
          <t>8/5/2026</t>
        </is>
      </c>
    </row>
    <row r="70" ht="15" customHeight="1" s="52">
      <c r="A70" s="106" t="n">
        <v>66</v>
      </c>
      <c r="B70" s="107" t="inlineStr">
        <is>
          <t>Triton Light Medical (TLM)</t>
        </is>
      </c>
      <c r="C70" s="107" t="inlineStr">
        <is>
          <t>Kennon Artis</t>
        </is>
      </c>
      <c r="D70" s="107" t="inlineStr">
        <is>
          <t>SDVOSB</t>
        </is>
      </c>
      <c r="E70" s="108" t="n">
        <v>46239</v>
      </c>
      <c r="F70" s="108" t="n"/>
      <c r="G70" s="107" t="inlineStr">
        <is>
          <t>VA Medical Products / Distribution</t>
        </is>
      </c>
      <c r="H70" s="107" t="inlineStr">
        <is>
          <t>WATCHLIST</t>
        </is>
      </c>
      <c r="I70" s="107" t="inlineStr">
        <is>
          <t>8/5/2026</t>
        </is>
      </c>
    </row>
    <row r="71" ht="15" customHeight="1" s="52">
      <c r="A71" s="106" t="n">
        <v>67</v>
      </c>
      <c r="B71" s="107" t="inlineStr">
        <is>
          <t>BuenaVista Information Systems (BVIS)</t>
        </is>
      </c>
      <c r="C71" s="107" t="inlineStr">
        <is>
          <t>Adrian J. Lorduy</t>
        </is>
      </c>
      <c r="D71" s="107" t="inlineStr">
        <is>
          <t>SDVOSB / VOSB — SAM expired 1/6/26</t>
        </is>
      </c>
      <c r="E71" s="108" t="n">
        <v>46239</v>
      </c>
      <c r="F71" s="108" t="n"/>
      <c r="G71" s="107" t="inlineStr">
        <is>
          <t>Commercial MSP / Cyber (SC)</t>
        </is>
      </c>
      <c r="H71" s="107" t="inlineStr">
        <is>
          <t>WATCHLIST</t>
        </is>
      </c>
      <c r="I71" s="107" t="inlineStr">
        <is>
          <t>8/5/2026</t>
        </is>
      </c>
    </row>
    <row r="72">
      <c r="A72" s="106" t="n">
        <v>68</v>
      </c>
      <c r="B72" s="107" t="inlineStr">
        <is>
          <t>RavenOne Enterprises LLC</t>
        </is>
      </c>
      <c r="C72" s="107" t="inlineStr">
        <is>
          <t>Charles M. Cedeno</t>
        </is>
      </c>
      <c r="D72" s="107" t="inlineStr">
        <is>
          <t>HUBZone / SDVOSB (self-reported VetCert; UEI W5D6US648735; CAGE 0QPK0; PR)</t>
        </is>
      </c>
      <c r="E72" s="108" t="n">
        <v>46247</v>
      </c>
      <c r="F72" s="108" t="n"/>
      <c r="G72" s="107" t="inlineStr">
        <is>
          <t>VA / CDC Federal IT (ECM)</t>
        </is>
      </c>
      <c r="H72" s="107" t="inlineStr">
        <is>
          <t>PENDING</t>
        </is>
      </c>
      <c r="I72" s="107" t="inlineStr">
        <is>
          <t>8/13/2026</t>
        </is>
      </c>
    </row>
    <row r="73">
      <c r="A73" s="106" t="n">
        <v>69</v>
      </c>
      <c r="B73" s="107" t="inlineStr">
        <is>
          <t>CAGAIL LLC</t>
        </is>
      </c>
      <c r="C73" s="107" t="inlineStr">
        <is>
          <t>Lavanya Kanchadapu</t>
        </is>
      </c>
      <c r="D73" s="107" t="inlineStr">
        <is>
          <t>WOSB / EDWOSB (DSBS unverified)</t>
        </is>
      </c>
      <c r="E73" s="108" t="n">
        <v>46245</v>
      </c>
      <c r="F73" s="108" t="n"/>
      <c r="G73" s="107" t="inlineStr">
        <is>
          <t>CMS CCIIO / Salesforce (HHS-RADV)</t>
        </is>
      </c>
      <c r="H73" s="107" t="inlineStr">
        <is>
          <t>PRIORITY</t>
        </is>
      </c>
      <c r="I73" s="107" t="inlineStr">
        <is>
          <t>8/11/2026</t>
        </is>
      </c>
    </row>
    <row r="74">
      <c r="A74" s="106" t="n">
        <v>70</v>
      </c>
      <c r="B74" s="107" t="inlineStr">
        <is>
          <t>Vedic Professional Services</t>
        </is>
      </c>
      <c r="C74" s="107" t="n"/>
      <c r="D74" s="107" t="inlineStr">
        <is>
          <t>–</t>
        </is>
      </c>
      <c r="E74" s="108" t="n">
        <v>46240</v>
      </c>
      <c r="F74" s="108" t="n">
        <v>46240</v>
      </c>
      <c r="G74" s="107" t="inlineStr">
        <is>
          <t>–</t>
        </is>
      </c>
      <c r="H74" s="107" t="inlineStr">
        <is>
          <t>PENDING</t>
        </is>
      </c>
      <c r="I74" s="107" t="inlineStr">
        <is>
          <t>8/6/2026</t>
        </is>
      </c>
    </row>
    <row r="75">
      <c r="A75" s="106" t="n">
        <v>71</v>
      </c>
      <c r="B75" s="107" t="inlineStr">
        <is>
          <t>WhitworthKee</t>
        </is>
      </c>
      <c r="C75" s="107" t="n"/>
      <c r="D75" s="107" t="inlineStr">
        <is>
          <t>–</t>
        </is>
      </c>
      <c r="E75" s="108" t="n">
        <v>46247</v>
      </c>
      <c r="F75" s="108" t="n">
        <v>46247</v>
      </c>
      <c r="G75" s="107" t="inlineStr">
        <is>
          <t>–</t>
        </is>
      </c>
      <c r="H75" s="107" t="inlineStr">
        <is>
          <t>PENDING</t>
        </is>
      </c>
      <c r="I75" s="107" t="inlineStr">
        <is>
          <t>8/13/2026</t>
        </is>
      </c>
    </row>
    <row r="76">
      <c r="A76" s="106" t="n">
        <v>72</v>
      </c>
      <c r="B76" s="107" t="inlineStr">
        <is>
          <t>Allele Consulting</t>
        </is>
      </c>
      <c r="C76" s="107" t="n"/>
      <c r="D76" s="107" t="inlineStr">
        <is>
          <t>–</t>
        </is>
      </c>
      <c r="E76" s="108" t="n">
        <v>46247</v>
      </c>
      <c r="F76" s="108" t="n">
        <v>46247</v>
      </c>
      <c r="G76" s="107" t="inlineStr">
        <is>
          <t>–</t>
        </is>
      </c>
      <c r="H76" s="107" t="inlineStr">
        <is>
          <t>PENDING</t>
        </is>
      </c>
      <c r="I76" s="107" t="inlineStr">
        <is>
          <t>8/13/2026</t>
        </is>
      </c>
    </row>
    <row r="77">
      <c r="A77" s="106" t="n">
        <v>73</v>
      </c>
      <c r="B77" s="107" t="inlineStr">
        <is>
          <t>IronHull USA LLC</t>
        </is>
      </c>
      <c r="C77" s="107" t="inlineStr">
        <is>
          <t>Robert Foucha</t>
        </is>
      </c>
      <c r="D77" s="107" t="inlineStr">
        <is>
          <t>CAGE 14RB2</t>
        </is>
      </c>
      <c r="E77" s="108" t="n">
        <v>46247</v>
      </c>
      <c r="F77" s="108" t="n"/>
      <c r="G77" s="107" t="inlineStr">
        <is>
          <t>Federal IT</t>
        </is>
      </c>
      <c r="H77" s="107" t="inlineStr">
        <is>
          <t>WATCHLIST</t>
        </is>
      </c>
      <c r="I77" s="107" t="inlineStr">
        <is>
          <t>8/13/2026</t>
        </is>
      </c>
    </row>
  </sheetData>
  <mergeCells count="2">
    <mergeCell ref="A1:I1"/>
    <mergeCell ref="A2:I2"/>
  </mergeCells>
  <conditionalFormatting sqref="H5:H60">
    <cfRule type="expression" rank="0" priority="2" equalAverage="0" aboveAverage="0" dxfId="2" text="" percent="0" bottom="0">
      <formula>$H5="PRIORITY"</formula>
    </cfRule>
    <cfRule type="expression" rank="0" priority="3" equalAverage="0" aboveAverage="0" dxfId="3" text="" percent="0" bottom="0">
      <formula>$H5="BENCH"</formula>
    </cfRule>
    <cfRule type="expression" rank="0" priority="4" equalAverage="0" aboveAverage="0" dxfId="4" text="" percent="0" bottom="0">
      <formula>$H5="WATCHLIST"</formula>
    </cfRule>
    <cfRule type="expression" rank="0" priority="5" equalAverage="0" aboveAverage="0" dxfId="5" text="" percent="0" bottom="0">
      <formula>$H5="FILED"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G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1" min="1" max="1"/>
    <col width="26" customWidth="1" style="51" min="2" max="2"/>
    <col width="22" customWidth="1" style="51" min="3" max="3"/>
    <col width="14" customWidth="1" style="51" min="4" max="4"/>
    <col width="50" customWidth="1" style="51" min="5" max="5"/>
    <col width="14" customWidth="1" style="51" min="6" max="7"/>
  </cols>
  <sheetData>
    <row r="1" ht="27.75" customHeight="1" s="52">
      <c r="A1" s="53" t="inlineStr">
        <is>
          <t xml:space="preserve">  NDAs  —  Executed NDA Register</t>
        </is>
      </c>
    </row>
    <row r="2" ht="21.75" customHeight="1" s="52">
      <c r="A2" s="54" t="inlineStr">
        <is>
          <t xml:space="preserve">  Col D (NDA Date) is the date used by metrics. Source: Visionblox NDA register.</t>
        </is>
      </c>
    </row>
    <row r="3"/>
    <row r="4" ht="30" customHeight="1" s="52">
      <c r="A4" s="64" t="inlineStr">
        <is>
          <t>#</t>
        </is>
      </c>
      <c r="B4" s="64" t="inlineStr">
        <is>
          <t>Recipient / Entity</t>
        </is>
      </c>
      <c r="C4" s="64" t="inlineStr">
        <is>
          <t>Contact</t>
        </is>
      </c>
      <c r="D4" s="64" t="inlineStr">
        <is>
          <t>NDA Date</t>
        </is>
      </c>
      <c r="E4" s="64" t="inlineStr">
        <is>
          <t>Document Filename</t>
        </is>
      </c>
      <c r="F4" s="64" t="inlineStr">
        <is>
          <t>Status</t>
        </is>
      </c>
      <c r="G4" s="64" t="inlineStr">
        <is>
          <t>Partner Classification</t>
        </is>
      </c>
    </row>
    <row r="5" ht="15" customHeight="1" s="52">
      <c r="A5" s="106" t="n">
        <v>1</v>
      </c>
      <c r="B5" s="107" t="inlineStr">
        <is>
          <t>Vonis Consulting</t>
        </is>
      </c>
      <c r="C5" s="107" t="inlineStr">
        <is>
          <t>Iwona Przedpelska</t>
        </is>
      </c>
      <c r="D5" s="108" t="n">
        <v>46129</v>
      </c>
      <c r="E5" s="107" t="inlineStr">
        <is>
          <t>VBX_NDA_IwonaPrzedpelska_2026-04-17.docx</t>
        </is>
      </c>
      <c r="F5" s="107" t="inlineStr">
        <is>
          <t>Executed</t>
        </is>
      </c>
      <c r="G5" s="107" t="inlineStr">
        <is>
          <t>FILED</t>
        </is>
      </c>
    </row>
    <row r="6" ht="23.25" customHeight="1" s="52">
      <c r="A6" s="106" t="n">
        <v>2</v>
      </c>
      <c r="B6" s="107" t="inlineStr">
        <is>
          <t>Cadence Procurement</t>
        </is>
      </c>
      <c r="C6" s="107" t="inlineStr">
        <is>
          <t>Shaneiqua Johnson</t>
        </is>
      </c>
      <c r="D6" s="108" t="n">
        <v>46127</v>
      </c>
      <c r="E6" s="107" t="inlineStr">
        <is>
          <t>Visionblox_NDA_CadenceProcurement_ShaneiquaJohnson_2026-04.docx</t>
        </is>
      </c>
      <c r="F6" s="107" t="inlineStr">
        <is>
          <t>Executed</t>
        </is>
      </c>
      <c r="G6" s="107" t="inlineStr">
        <is>
          <t>FILED</t>
        </is>
      </c>
    </row>
    <row r="7" ht="15" customHeight="1" s="52">
      <c r="A7" s="106" t="n">
        <v>3</v>
      </c>
      <c r="B7" s="107" t="inlineStr">
        <is>
          <t>Grit Government Solutions</t>
        </is>
      </c>
      <c r="C7" s="107" t="inlineStr">
        <is>
          <t>Frank Culmone</t>
        </is>
      </c>
      <c r="D7" s="108" t="n">
        <v>46127</v>
      </c>
      <c r="E7" s="107" t="inlineStr">
        <is>
          <t>Visionblox_NDA_GritGovernmentSolutions_2026-04.docx</t>
        </is>
      </c>
      <c r="F7" s="107" t="inlineStr">
        <is>
          <t>Executed</t>
        </is>
      </c>
      <c r="G7" s="107" t="inlineStr">
        <is>
          <t>FILED</t>
        </is>
      </c>
    </row>
    <row r="8" ht="15" customHeight="1" s="52">
      <c r="A8" s="106" t="n">
        <v>4</v>
      </c>
      <c r="B8" s="107" t="inlineStr">
        <is>
          <t>Maywell Solutions</t>
        </is>
      </c>
      <c r="C8" s="107" t="inlineStr">
        <is>
          <t>Kofoworola Adeoti</t>
        </is>
      </c>
      <c r="D8" s="108" t="n">
        <v>46127</v>
      </c>
      <c r="E8" s="107" t="inlineStr">
        <is>
          <t>Visionblox_NDA_MaywellSolutions_2026-04.docx</t>
        </is>
      </c>
      <c r="F8" s="107" t="inlineStr">
        <is>
          <t>Executed</t>
        </is>
      </c>
      <c r="G8" s="107" t="inlineStr">
        <is>
          <t>FILED</t>
        </is>
      </c>
    </row>
    <row r="9" ht="23.25" customHeight="1" s="52">
      <c r="A9" s="106" t="n">
        <v>5</v>
      </c>
      <c r="B9" s="107" t="inlineStr">
        <is>
          <t>Candidate Solutions</t>
        </is>
      </c>
      <c r="C9" s="107" t="inlineStr">
        <is>
          <t>Linda Wiggins</t>
        </is>
      </c>
      <c r="D9" s="108" t="n">
        <v>46127</v>
      </c>
      <c r="E9" s="107" t="inlineStr">
        <is>
          <t>Visionblox_NDA_CandidateSolutions_LindaWiggins_2026-04.docx</t>
        </is>
      </c>
      <c r="F9" s="107" t="inlineStr">
        <is>
          <t>Executed</t>
        </is>
      </c>
      <c r="G9" s="107" t="inlineStr">
        <is>
          <t>FILED</t>
        </is>
      </c>
    </row>
    <row r="10" ht="15" customHeight="1" s="52">
      <c r="A10" s="106" t="n">
        <v>6</v>
      </c>
      <c r="B10" s="107" t="inlineStr">
        <is>
          <t>Novarens Systems</t>
        </is>
      </c>
      <c r="C10" s="107" t="inlineStr">
        <is>
          <t>Reginald Phillippes</t>
        </is>
      </c>
      <c r="D10" s="108" t="n">
        <v>46127</v>
      </c>
      <c r="E10" s="107" t="inlineStr">
        <is>
          <t>Visionblox_NDA_NovarenSystems_2026-04.docx</t>
        </is>
      </c>
      <c r="F10" s="107" t="inlineStr">
        <is>
          <t>Executed</t>
        </is>
      </c>
      <c r="G10" s="107" t="inlineStr">
        <is>
          <t>FILED</t>
        </is>
      </c>
    </row>
    <row r="11" ht="15" customHeight="1" s="52">
      <c r="A11" s="106" t="n">
        <v>7</v>
      </c>
      <c r="B11" s="107" t="inlineStr">
        <is>
          <t>West Point Security</t>
        </is>
      </c>
      <c r="C11" s="107" t="inlineStr">
        <is>
          <t>Norman Massry</t>
        </is>
      </c>
      <c r="D11" s="108" t="n">
        <v>46127</v>
      </c>
      <c r="E11" s="107" t="inlineStr">
        <is>
          <t>Visionblox_NDA_WestPointSecurity_2026-04.docx</t>
        </is>
      </c>
      <c r="F11" s="107" t="inlineStr">
        <is>
          <t>Executed</t>
        </is>
      </c>
      <c r="G11" s="107" t="inlineStr">
        <is>
          <t>PRIORITY</t>
        </is>
      </c>
    </row>
    <row r="12" ht="15" customHeight="1" s="52">
      <c r="A12" s="106" t="n">
        <v>8</v>
      </c>
      <c r="B12" s="107" t="inlineStr">
        <is>
          <t>NetSecurely</t>
        </is>
      </c>
      <c r="C12" s="107" t="inlineStr">
        <is>
          <t>Josh Fonger</t>
        </is>
      </c>
      <c r="D12" s="108" t="n">
        <v>46139</v>
      </c>
      <c r="E12" s="107" t="inlineStr">
        <is>
          <t>Visionblox_NDA_NetSecurely_2026-04-27.docx</t>
        </is>
      </c>
      <c r="F12" s="107" t="inlineStr">
        <is>
          <t>Executed</t>
        </is>
      </c>
      <c r="G12" s="107" t="inlineStr">
        <is>
          <t>BENCH</t>
        </is>
      </c>
    </row>
    <row r="13" ht="15" customHeight="1" s="52">
      <c r="A13" s="106" t="n">
        <v>9</v>
      </c>
      <c r="B13" s="107" t="inlineStr">
        <is>
          <t>FortunaBMC</t>
        </is>
      </c>
      <c r="C13" s="107" t="inlineStr">
        <is>
          <t>Alice Parenti</t>
        </is>
      </c>
      <c r="D13" s="108" t="n">
        <v>46140</v>
      </c>
      <c r="E13" s="107" t="inlineStr">
        <is>
          <t>Visionblox_NDA_FortunaBMC_2026-04-28.docx</t>
        </is>
      </c>
      <c r="F13" s="107" t="inlineStr">
        <is>
          <t>Executed</t>
        </is>
      </c>
      <c r="G13" s="107" t="inlineStr">
        <is>
          <t>FILED</t>
        </is>
      </c>
    </row>
    <row r="14" ht="15" customHeight="1" s="52">
      <c r="A14" s="106" t="n">
        <v>10</v>
      </c>
      <c r="B14" s="107" t="inlineStr">
        <is>
          <t>TES Consultants (Final)</t>
        </is>
      </c>
      <c r="C14" s="107" t="inlineStr">
        <is>
          <t>Elisabeth Nguyen</t>
        </is>
      </c>
      <c r="D14" s="108" t="n">
        <v>46141</v>
      </c>
      <c r="E14" s="107" t="inlineStr">
        <is>
          <t>Visionblox_NDA_TESConsultants_2026-04-29_Final.docx</t>
        </is>
      </c>
      <c r="F14" s="107" t="inlineStr">
        <is>
          <t>Executed</t>
        </is>
      </c>
      <c r="G14" s="107" t="inlineStr">
        <is>
          <t>PRIORITY</t>
        </is>
      </c>
    </row>
    <row r="15" ht="23.25" customHeight="1" s="52">
      <c r="A15" s="106" t="n">
        <v>11</v>
      </c>
      <c r="B15" s="107" t="inlineStr">
        <is>
          <t>Apex Consulting</t>
        </is>
      </c>
      <c r="C15" s="107" t="inlineStr">
        <is>
          <t>Jacob Gadd</t>
        </is>
      </c>
      <c r="D15" s="108" t="n">
        <v>46141</v>
      </c>
      <c r="E15" s="107" t="inlineStr">
        <is>
          <t>Visionblox_NDA_ApexConsulting_JacobGadd_2026-04-29.docx</t>
        </is>
      </c>
      <c r="F15" s="107" t="inlineStr">
        <is>
          <t>Executed</t>
        </is>
      </c>
      <c r="G15" s="107" t="inlineStr">
        <is>
          <t>BENCH</t>
        </is>
      </c>
    </row>
    <row r="16" ht="23.25" customHeight="1" s="52">
      <c r="A16" s="106" t="n">
        <v>12</v>
      </c>
      <c r="B16" s="107" t="inlineStr">
        <is>
          <t>Strategic Alliances Group (SAG)</t>
        </is>
      </c>
      <c r="C16" s="107" t="inlineStr">
        <is>
          <t>Sharon Jacobs</t>
        </is>
      </c>
      <c r="D16" s="108" t="n">
        <v>46142</v>
      </c>
      <c r="E16" s="107" t="inlineStr">
        <is>
          <t>Visionblox_NDA_StrategicAlliancesGroup_2026-04-30.docx</t>
        </is>
      </c>
      <c r="F16" s="107" t="inlineStr">
        <is>
          <t>Executed</t>
        </is>
      </c>
      <c r="G16" s="107" t="inlineStr">
        <is>
          <t>PRIORITY</t>
        </is>
      </c>
    </row>
    <row r="17" ht="23.25" customHeight="1" s="52">
      <c r="A17" s="106" t="n">
        <v>13</v>
      </c>
      <c r="B17" s="107" t="inlineStr">
        <is>
          <t>GD Resources (GDR)</t>
        </is>
      </c>
      <c r="C17" s="107" t="inlineStr">
        <is>
          <t>Basso Ghee</t>
        </is>
      </c>
      <c r="D17" s="108" t="n">
        <v>46142</v>
      </c>
      <c r="E17" s="107" t="inlineStr">
        <is>
          <t>Visionblox_NDA_GDResources_BassoGhee_2026-04-30.docx</t>
        </is>
      </c>
      <c r="F17" s="107" t="inlineStr">
        <is>
          <t>Executed</t>
        </is>
      </c>
      <c r="G17" s="107" t="inlineStr">
        <is>
          <t>BENCH</t>
        </is>
      </c>
    </row>
    <row r="18" ht="23.25" customHeight="1" s="52">
      <c r="A18" s="106" t="n">
        <v>14</v>
      </c>
      <c r="B18" s="107" t="inlineStr">
        <is>
          <t>IronCloud Government Services</t>
        </is>
      </c>
      <c r="C18" s="107" t="inlineStr">
        <is>
          <t>Jeffrey Brown</t>
        </is>
      </c>
      <c r="D18" s="108" t="n">
        <v>46146</v>
      </c>
      <c r="E18" s="107" t="inlineStr">
        <is>
          <t>Visionblox_NDA_IronCloudGovernmentServices_2026-05-04.docx</t>
        </is>
      </c>
      <c r="F18" s="107" t="inlineStr">
        <is>
          <t>Executed</t>
        </is>
      </c>
      <c r="G18" s="107" t="inlineStr">
        <is>
          <t>WATCHLIST</t>
        </is>
      </c>
    </row>
    <row r="19" ht="15" customHeight="1" s="52">
      <c r="A19" s="106" t="n">
        <v>15</v>
      </c>
      <c r="B19" s="107" t="inlineStr">
        <is>
          <t>SRFed</t>
        </is>
      </c>
      <c r="C19" s="107" t="inlineStr">
        <is>
          <t>Paul Scace</t>
        </is>
      </c>
      <c r="D19" s="108" t="n">
        <v>46148</v>
      </c>
      <c r="E19" s="107" t="inlineStr">
        <is>
          <t>Visionblox_NDA_SRFed_2026-05-06.docx</t>
        </is>
      </c>
      <c r="F19" s="107" t="inlineStr">
        <is>
          <t>Executed</t>
        </is>
      </c>
      <c r="G19" s="107" t="inlineStr">
        <is>
          <t>PRIORITY</t>
        </is>
      </c>
    </row>
    <row r="20" ht="15" customHeight="1" s="52">
      <c r="A20" s="106" t="n">
        <v>16</v>
      </c>
      <c r="B20" s="107" t="inlineStr">
        <is>
          <t>Invicta Solutions Group (ISG)</t>
        </is>
      </c>
      <c r="C20" s="107" t="inlineStr">
        <is>
          <t>Thomas Radcliffe</t>
        </is>
      </c>
      <c r="D20" s="108" t="n">
        <v>46148</v>
      </c>
      <c r="E20" s="107" t="inlineStr">
        <is>
          <t>Visionblox_NDA_InvictaSolutionsGroup_2026-05-06.docx</t>
        </is>
      </c>
      <c r="F20" s="107" t="inlineStr">
        <is>
          <t>Executed</t>
        </is>
      </c>
      <c r="G20" s="107" t="inlineStr">
        <is>
          <t>PRIORITY</t>
        </is>
      </c>
    </row>
    <row r="21" ht="23.25" customHeight="1" s="52">
      <c r="A21" s="106" t="n">
        <v>17</v>
      </c>
      <c r="B21" s="107" t="inlineStr">
        <is>
          <t>Proksi Systems</t>
        </is>
      </c>
      <c r="C21" s="107" t="inlineStr">
        <is>
          <t>Riddhi Choksi</t>
        </is>
      </c>
      <c r="D21" s="108" t="n">
        <v>46148</v>
      </c>
      <c r="E21" s="107" t="inlineStr">
        <is>
          <t>Visionblox_NDA_ProksiSystems_RiddhiChoksi_2026-05-06.docx</t>
        </is>
      </c>
      <c r="F21" s="107" t="inlineStr">
        <is>
          <t>Executed</t>
        </is>
      </c>
      <c r="G21" s="107" t="inlineStr">
        <is>
          <t>PRIORITY</t>
        </is>
      </c>
    </row>
    <row r="22" ht="15" customHeight="1" s="52">
      <c r="A22" s="106" t="n">
        <v>18</v>
      </c>
      <c r="B22" s="107" t="inlineStr">
        <is>
          <t>TDM Consultants</t>
        </is>
      </c>
      <c r="C22" s="107" t="inlineStr">
        <is>
          <t>Tony Macon</t>
        </is>
      </c>
      <c r="D22" s="108" t="n">
        <v>46159</v>
      </c>
      <c r="E22" s="107" t="inlineStr">
        <is>
          <t>Visionblox_NDA_TDMConsultants_2026-05-17.docx</t>
        </is>
      </c>
      <c r="F22" s="107" t="inlineStr">
        <is>
          <t>Executed</t>
        </is>
      </c>
      <c r="G22" s="107" t="inlineStr">
        <is>
          <t>WATCHLIST</t>
        </is>
      </c>
    </row>
    <row r="23" ht="15" customHeight="1" s="52">
      <c r="A23" s="106" t="n">
        <v>19</v>
      </c>
      <c r="B23" s="107" t="inlineStr">
        <is>
          <t>Nacient LLC</t>
        </is>
      </c>
      <c r="C23" s="107" t="inlineStr">
        <is>
          <t>Karen Perez Diaz</t>
        </is>
      </c>
      <c r="D23" s="108" t="n">
        <v>46162</v>
      </c>
      <c r="E23" s="107" t="inlineStr">
        <is>
          <t>Visionblox_NDA_NacientLLC_2026-05-20.docx</t>
        </is>
      </c>
      <c r="F23" s="107" t="inlineStr">
        <is>
          <t>Executed</t>
        </is>
      </c>
      <c r="G23" s="107" t="inlineStr">
        <is>
          <t>BENCH</t>
        </is>
      </c>
    </row>
    <row r="24" ht="15" customHeight="1" s="52">
      <c r="A24" s="106" t="n">
        <v>20</v>
      </c>
      <c r="B24" s="107" t="inlineStr">
        <is>
          <t>Saarthee LLC</t>
        </is>
      </c>
      <c r="C24" s="107" t="n"/>
      <c r="D24" s="108" t="n">
        <v>46209</v>
      </c>
      <c r="E24" s="107" t="inlineStr">
        <is>
          <t>Visionblox_NDA_Saarthee_20260706.pdf</t>
        </is>
      </c>
      <c r="F24" s="107" t="inlineStr">
        <is>
          <t>Executed</t>
        </is>
      </c>
      <c r="G24" s="107" t="n"/>
    </row>
    <row r="25" ht="15" customHeight="1" s="52">
      <c r="A25" s="106" t="n">
        <v>21</v>
      </c>
      <c r="B25" s="107" t="inlineStr">
        <is>
          <t>Zachary Piper Solutions, LLC</t>
        </is>
      </c>
      <c r="C25" s="107" t="inlineStr">
        <is>
          <t>Dave Ambrose</t>
        </is>
      </c>
      <c r="D25" s="108" t="n">
        <v>46208</v>
      </c>
      <c r="E25" s="107" t="inlineStr">
        <is>
          <t>Visionblox_NDA_ZacharyPiperSolutions_20260705.pdf</t>
        </is>
      </c>
      <c r="F25" s="107" t="inlineStr">
        <is>
          <t>Executed</t>
        </is>
      </c>
      <c r="G25" s="107" t="n"/>
    </row>
    <row r="26" ht="15" customHeight="1" s="52">
      <c r="A26" s="106" t="n">
        <v>22</v>
      </c>
      <c r="B26" s="107" t="inlineStr">
        <is>
          <t>Proksi Systems (Penn Testing BPA)</t>
        </is>
      </c>
      <c r="C26" s="107" t="inlineStr">
        <is>
          <t>Riddhi Choksi</t>
        </is>
      </c>
      <c r="D26" s="108" t="n">
        <v>46163</v>
      </c>
      <c r="E26" s="107" t="inlineStr">
        <is>
          <t>Proksi_VisionBlox_NDA_PennTesting.docx</t>
        </is>
      </c>
      <c r="F26" s="107" t="inlineStr">
        <is>
          <t>Executed</t>
        </is>
      </c>
      <c r="G26" s="107" t="inlineStr">
        <is>
          <t>PRIORITY</t>
        </is>
      </c>
    </row>
    <row r="27">
      <c r="A27" s="106" t="n">
        <v>23</v>
      </c>
      <c r="B27" s="107" t="inlineStr">
        <is>
          <t>Vedic Professional Services</t>
        </is>
      </c>
      <c r="C27" s="107" t="n"/>
      <c r="D27" s="108" t="n">
        <v>46240</v>
      </c>
      <c r="E27" s="107" t="inlineStr">
        <is>
          <t>Visionblox_NDA_VedicProfessionalServices_2026-08-06.pdf</t>
        </is>
      </c>
      <c r="F27" s="107" t="inlineStr">
        <is>
          <t>Executed</t>
        </is>
      </c>
      <c r="G27" s="107" t="n"/>
    </row>
    <row r="28">
      <c r="A28" s="106" t="n">
        <v>24</v>
      </c>
      <c r="B28" s="107" t="inlineStr">
        <is>
          <t>WhitworthKee</t>
        </is>
      </c>
      <c r="C28" s="107" t="n"/>
      <c r="D28" s="108" t="n">
        <v>46247</v>
      </c>
      <c r="E28" s="107" t="inlineStr">
        <is>
          <t>Visionblox_NDA_WhitworthKee_2026-08-13.pdf</t>
        </is>
      </c>
      <c r="F28" s="107" t="inlineStr">
        <is>
          <t>Executed</t>
        </is>
      </c>
      <c r="G28" s="107" t="n"/>
    </row>
    <row r="29">
      <c r="A29" s="106" t="n">
        <v>25</v>
      </c>
      <c r="B29" s="107" t="inlineStr">
        <is>
          <t>Allele Consulting</t>
        </is>
      </c>
      <c r="C29" s="107" t="n"/>
      <c r="D29" s="108" t="n">
        <v>46247</v>
      </c>
      <c r="E29" s="107" t="inlineStr">
        <is>
          <t>Visionblox_NDA_AlleleConsulting_2026-08-13.pdf</t>
        </is>
      </c>
      <c r="F29" s="107" t="inlineStr">
        <is>
          <t>Executed</t>
        </is>
      </c>
      <c r="G29" s="107" t="n"/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H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1" min="1" max="1"/>
    <col width="26" customWidth="1" style="51" min="2" max="2"/>
    <col width="22" customWidth="1" style="51" min="3" max="3"/>
    <col width="14" customWidth="1" style="51" min="4" max="4"/>
    <col width="28" customWidth="1" style="51" min="5" max="5"/>
    <col width="50" customWidth="1" style="51" min="6" max="6"/>
    <col width="14" customWidth="1" style="51" min="7" max="7"/>
    <col width="32" customWidth="1" style="51" min="8" max="8"/>
  </cols>
  <sheetData>
    <row r="1" ht="27.75" customHeight="1" s="52">
      <c r="A1" s="53" t="inlineStr">
        <is>
          <t xml:space="preserve">  AGREEMENTS  —  Teaming | Commission | Partnership</t>
        </is>
      </c>
    </row>
    <row r="2" ht="21.75" customHeight="1" s="52">
      <c r="A2" s="54" t="inlineStr">
        <is>
          <t xml:space="preserve">  Col D (Date) is the date used by metrics. Includes all executed agreements.</t>
        </is>
      </c>
    </row>
    <row r="3"/>
    <row r="4" ht="30" customHeight="1" s="52">
      <c r="A4" s="64" t="inlineStr">
        <is>
          <t>#</t>
        </is>
      </c>
      <c r="B4" s="64" t="inlineStr">
        <is>
          <t>Party / Entity</t>
        </is>
      </c>
      <c r="C4" s="64" t="inlineStr">
        <is>
          <t>Contact</t>
        </is>
      </c>
      <c r="D4" s="64" t="inlineStr">
        <is>
          <t>Date</t>
        </is>
      </c>
      <c r="E4" s="64" t="inlineStr">
        <is>
          <t>Agreement Type</t>
        </is>
      </c>
      <c r="F4" s="64" t="inlineStr">
        <is>
          <t>Document Filename</t>
        </is>
      </c>
      <c r="G4" s="64" t="inlineStr">
        <is>
          <t>Status</t>
        </is>
      </c>
      <c r="H4" s="64" t="inlineStr">
        <is>
          <t>Notes</t>
        </is>
      </c>
    </row>
    <row r="5" ht="23.25" customHeight="1" s="52">
      <c r="A5" s="106" t="n">
        <v>1</v>
      </c>
      <c r="B5" s="107" t="inlineStr">
        <is>
          <t>Vonis Consulting</t>
        </is>
      </c>
      <c r="C5" s="107" t="inlineStr">
        <is>
          <t>Iwona Przedpelska</t>
        </is>
      </c>
      <c r="D5" s="108" t="n">
        <v>46159</v>
      </c>
      <c r="E5" s="107" t="inlineStr">
        <is>
          <t>BD Commission Agreement</t>
        </is>
      </c>
      <c r="F5" s="107" t="inlineStr">
        <is>
          <t>VBX_CommissionAgreement_VonisCons_IwonaPrzedpelska_20260517.docx</t>
        </is>
      </c>
      <c r="G5" s="107" t="inlineStr">
        <is>
          <t>Executed</t>
        </is>
      </c>
      <c r="H5" s="107" t="inlineStr">
        <is>
          <t>BD referral / commission role; Vonis is a FILED partner — referral only</t>
        </is>
      </c>
    </row>
    <row r="6" ht="23.25" customHeight="1" s="52">
      <c r="A6" s="106" t="n">
        <v>2</v>
      </c>
      <c r="B6" s="107" t="inlineStr">
        <is>
          <t>[Standard Template]</t>
        </is>
      </c>
      <c r="C6" s="107" t="inlineStr">
        <is>
          <t>–</t>
        </is>
      </c>
      <c r="D6" s="108" t="n"/>
      <c r="E6" s="107" t="inlineStr">
        <is>
          <t>BD Commission Agreement — Template</t>
        </is>
      </c>
      <c r="F6" s="107" t="inlineStr">
        <is>
          <t>VBX_BDCommissionAgreement_Standard.docx</t>
        </is>
      </c>
      <c r="G6" s="107" t="inlineStr">
        <is>
          <t>Template on File</t>
        </is>
      </c>
      <c r="H6" s="107" t="inlineStr">
        <is>
          <t>Master template; not yet executed with any active PRIORITY partner</t>
        </is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style="52" min="1" max="1"/>
    <col width="54" customWidth="1" style="52" min="2" max="2"/>
    <col width="24" customWidth="1" style="52" min="3" max="3"/>
    <col width="14" customWidth="1" style="52" min="4" max="4"/>
    <col width="40" customWidth="1" style="52" min="5" max="5"/>
    <col width="12" customWidth="1" style="52" min="6" max="6"/>
    <col width="30" customWidth="1" style="52" min="7" max="7"/>
  </cols>
  <sheetData>
    <row r="1" ht="27.75" customHeight="1" s="52">
      <c r="A1" s="109" t="inlineStr">
        <is>
          <t xml:space="preserve">  ACTIONS &amp; TASKS  —  Capture follow-through</t>
        </is>
      </c>
      <c r="B1" s="110" t="n"/>
      <c r="C1" s="110" t="n"/>
      <c r="D1" s="110" t="n"/>
      <c r="E1" s="110" t="n"/>
      <c r="F1" s="110" t="n"/>
      <c r="G1" s="110" t="n"/>
    </row>
    <row r="2" ht="21.75" customHeight="1" s="52">
      <c r="A2" s="111" t="inlineStr">
        <is>
          <t xml:space="preserve">  Owner | Deadline | Binary success condition.  Status: Open | In Progress | Done.</t>
        </is>
      </c>
      <c r="B2" s="112" t="n"/>
      <c r="C2" s="112" t="n"/>
      <c r="D2" s="112" t="n"/>
      <c r="E2" s="112" t="n"/>
      <c r="F2" s="112" t="n"/>
      <c r="G2" s="112" t="n"/>
    </row>
    <row r="3"/>
    <row r="4" ht="30" customHeight="1" s="52">
      <c r="A4" s="113" t="inlineStr">
        <is>
          <t>#</t>
        </is>
      </c>
      <c r="B4" s="113" t="inlineStr">
        <is>
          <t>Action</t>
        </is>
      </c>
      <c r="C4" s="113" t="inlineStr">
        <is>
          <t>Owner</t>
        </is>
      </c>
      <c r="D4" s="113" t="inlineStr">
        <is>
          <t>Deadline</t>
        </is>
      </c>
      <c r="E4" s="113" t="inlineStr">
        <is>
          <t>Success Condition</t>
        </is>
      </c>
      <c r="F4" s="113" t="inlineStr">
        <is>
          <t>Status</t>
        </is>
      </c>
      <c r="G4" s="113" t="inlineStr">
        <is>
          <t>Source</t>
        </is>
      </c>
    </row>
    <row r="5">
      <c r="A5" s="114" t="n">
        <v>1</v>
      </c>
      <c r="B5" s="115" t="inlineStr">
        <is>
          <t>Redirect LADBS B&amp;P to CMS ICAT (RFI 270196) + WA HCA FSIPAP Round 2 re-score</t>
        </is>
      </c>
      <c r="C5" s="114" t="inlineStr">
        <is>
          <t>Khaalis Wooden</t>
        </is>
      </c>
      <c r="D5" s="116" t="n">
        <v>46254</v>
      </c>
      <c r="E5" s="115" t="inlineStr">
        <is>
          <t>ICAT package submitted on time</t>
        </is>
      </c>
      <c r="F5" s="114" t="inlineStr">
        <is>
          <t>Open</t>
        </is>
      </c>
      <c r="G5" s="114" t="inlineStr">
        <is>
          <t>OPP-041 / LADBS AIP-PPC No-Bid 8/19/26</t>
        </is>
      </c>
    </row>
    <row r="6">
      <c r="A6" s="114" t="n">
        <v>2</v>
      </c>
      <c r="B6" s="115" t="inlineStr">
        <is>
          <t>Open SOC 2 Type 2 gap-assessment scoping with Tony Paul; cite as 3rd documented hosted-solution attestation blocker (after Montana Tier Two &gt;$100K, WA State)</t>
        </is>
      </c>
      <c r="C6" s="114" t="inlineStr">
        <is>
          <t>Khaalis Wooden / Tony Paul</t>
        </is>
      </c>
      <c r="D6" s="116" t="n">
        <v>46262</v>
      </c>
      <c r="E6" s="115" t="inlineStr">
        <is>
          <t>Assessor shortlist returned</t>
        </is>
      </c>
      <c r="F6" s="114" t="inlineStr">
        <is>
          <t>Open</t>
        </is>
      </c>
      <c r="G6" s="114" t="inlineStr">
        <is>
          <t>OPP-041 / LADBS AIP-PPC No-Bid 8/19/26</t>
        </is>
      </c>
    </row>
    <row r="7">
      <c r="A7" s="114" t="n">
        <v>3</v>
      </c>
      <c r="B7" s="115" t="inlineStr">
        <is>
          <t>Add intake screen: flag any scope containing "vendor-hosted", "SaaS", "subscription", or a Functional Requirements &amp; Use Case Matrix as vendor-type mismatch BEFORE scoring</t>
        </is>
      </c>
      <c r="C7" s="114" t="inlineStr">
        <is>
          <t>Khaalis Wooden</t>
        </is>
      </c>
      <c r="D7" s="116" t="n">
        <v>46265</v>
      </c>
      <c r="E7" s="115" t="inlineStr">
        <is>
          <t>Screen in intake checklist</t>
        </is>
      </c>
      <c r="F7" s="114" t="inlineStr">
        <is>
          <t>Open</t>
        </is>
      </c>
      <c r="G7" s="114" t="inlineStr">
        <is>
          <t>OPP-041 / LADBS AIP-PPC No-Bid 8/19/26</t>
        </is>
      </c>
    </row>
    <row r="8">
      <c r="A8" s="114" t="n">
        <v>4</v>
      </c>
      <c r="B8" s="115" t="inlineStr">
        <is>
          <t>Re-check RAMP for a follow-on ED19 services/integration requirement</t>
        </is>
      </c>
      <c r="C8" s="114" t="inlineStr">
        <is>
          <t>Khaalis Wooden</t>
        </is>
      </c>
      <c r="D8" s="116" t="n">
        <v>46310</v>
      </c>
      <c r="E8" s="115" t="inlineStr">
        <is>
          <t>Search executed; recorded pursue / no-action</t>
        </is>
      </c>
      <c r="F8" s="114" t="inlineStr">
        <is>
          <t>Open</t>
        </is>
      </c>
      <c r="G8" s="114" t="inlineStr">
        <is>
          <t>OPP-041 / LADBS AIP-PPC No-Bid 8/19/26</t>
        </is>
      </c>
    </row>
    <row r="9">
      <c r="A9" s="114" t="n">
        <v>5</v>
      </c>
      <c r="B9" s="115" t="inlineStr">
        <is>
          <t>Validate §5.7 ROM against VBX cost model</t>
        </is>
      </c>
      <c r="C9" s="114" t="inlineStr">
        <is>
          <t>Akil Chellam / Khaalis Wooden</t>
        </is>
      </c>
      <c r="D9" s="116" t="n">
        <v>46258</v>
      </c>
      <c r="E9" s="115" t="inlineStr">
        <is>
          <t>ROM confirmed or revised</t>
        </is>
      </c>
      <c r="F9" s="114" t="inlineStr">
        <is>
          <t>Open</t>
        </is>
      </c>
      <c r="G9" s="114" t="inlineStr">
        <is>
          <t>OPP-024 / WA HCA FSIPAP RFI 2026HCA13 (Rev.6 8/19/26) · step 14</t>
        </is>
      </c>
    </row>
    <row r="10">
      <c r="A10" s="114" t="n">
        <v>6</v>
      </c>
      <c r="B10" s="115" t="inlineStr">
        <is>
          <t>Confirm §5.4 SOC 2 / attestation language</t>
        </is>
      </c>
      <c r="C10" s="114" t="inlineStr">
        <is>
          <t>Khaalis Wooden / Tony Paul</t>
        </is>
      </c>
      <c r="D10" s="116" t="n">
        <v>46258</v>
      </c>
      <c r="E10" s="115" t="inlineStr">
        <is>
          <t>Language approved</t>
        </is>
      </c>
      <c r="F10" s="114" t="inlineStr">
        <is>
          <t>Open</t>
        </is>
      </c>
      <c r="G10" s="114" t="inlineStr">
        <is>
          <t>OPP-024 / WA HCA FSIPAP RFI 2026HCA13 (Rev.6 8/19/26) · step 15</t>
        </is>
      </c>
    </row>
    <row r="11">
      <c r="A11" s="114" t="n">
        <v>7</v>
      </c>
      <c r="B11" s="115" t="inlineStr">
        <is>
          <t>Cyber-insurance tier check ($10M vs $6M held) with Grace Waring</t>
        </is>
      </c>
      <c r="C11" s="114" t="inlineStr">
        <is>
          <t>Khaalis Wooden</t>
        </is>
      </c>
      <c r="D11" s="116" t="n">
        <v>46258</v>
      </c>
      <c r="E11" s="115" t="inlineStr">
        <is>
          <t>Tier confirmed</t>
        </is>
      </c>
      <c r="F11" s="114" t="inlineStr">
        <is>
          <t>Open</t>
        </is>
      </c>
      <c r="G11" s="114" t="inlineStr">
        <is>
          <t>OPP-024 / WA HCA FSIPAP RFI 2026HCA13 (Rev.6 8/19/26) · step 16</t>
        </is>
      </c>
    </row>
    <row r="12">
      <c r="A12" s="114" t="n">
        <v>8</v>
      </c>
      <c r="B12" s="115" t="inlineStr">
        <is>
          <t>Apply §4.7 per-page Confidential marks on §5.3 pages</t>
        </is>
      </c>
      <c r="C12" s="114" t="inlineStr">
        <is>
          <t>Khaalis Wooden</t>
        </is>
      </c>
      <c r="D12" s="116" t="n">
        <v>46259</v>
      </c>
      <c r="E12" s="115" t="inlineStr">
        <is>
          <t>Marks applied</t>
        </is>
      </c>
      <c r="F12" s="114" t="inlineStr">
        <is>
          <t>Open</t>
        </is>
      </c>
      <c r="G12" s="114" t="inlineStr">
        <is>
          <t>OPP-024 / WA HCA FSIPAP RFI 2026HCA13 (Rev.6 8/19/26) · step 17</t>
        </is>
      </c>
    </row>
    <row r="13">
      <c r="A13" s="114" t="n">
        <v>9</v>
      </c>
      <c r="B13" s="115" t="inlineStr">
        <is>
          <t>Pink/red review + guardrail sweep</t>
        </is>
      </c>
      <c r="C13" s="114" t="inlineStr">
        <is>
          <t>Khaalis Wooden</t>
        </is>
      </c>
      <c r="D13" s="116" t="n">
        <v>46259</v>
      </c>
      <c r="E13" s="115" t="inlineStr">
        <is>
          <t>Sweep complete</t>
        </is>
      </c>
      <c r="F13" s="114" t="inlineStr">
        <is>
          <t>Open</t>
        </is>
      </c>
      <c r="G13" s="114" t="inlineStr">
        <is>
          <t>OPP-024 / WA HCA FSIPAP RFI 2026HCA13 (Rev.6 8/19/26) · step 18</t>
        </is>
      </c>
    </row>
    <row r="14">
      <c r="A14" s="114" t="n">
        <v>10</v>
      </c>
      <c r="B14" s="115" t="inlineStr">
        <is>
          <t>Submit RFI response (email, ≤20pp, subject "RFI 2026HCA13_Visionblox LLC" + Attachment A, no zip)</t>
        </is>
      </c>
      <c r="C14" s="114" t="inlineStr">
        <is>
          <t>Khaalis Wooden</t>
        </is>
      </c>
      <c r="D14" s="116" t="n">
        <v>46260</v>
      </c>
      <c r="E14" s="115" t="inlineStr">
        <is>
          <t>Response submitted</t>
        </is>
      </c>
      <c r="F14" s="114" t="inlineStr">
        <is>
          <t>Open</t>
        </is>
      </c>
      <c r="G14" s="114" t="inlineStr">
        <is>
          <t>OPP-024 / WA HCA FSIPAP RFI 2026HCA13 (Rev.6 8/19/26) · step 19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2026-06-02T05:04:26Z</dcterms:created>
  <dcterms:modified xsi:type="dcterms:W3CDTF">2026-08-28T21:25:05Z</dcterms:modified>
  <cp:revision>0</cp:revision>
</cp:coreProperties>
</file>