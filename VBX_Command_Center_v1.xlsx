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rgets" sheetId="2" state="visible" r:id="rId4"/>
    <sheet name="Metrics_Period" sheetId="3" state="visible" r:id="rId5"/>
    <sheet name="Revenue_Ledger" sheetId="4" state="visible" r:id="rId6"/>
    <sheet name="Expense_Ledger" sheetId="5" state="visible" r:id="rId7"/>
    <sheet name="Meetings" sheetId="6" state="visible" r:id="rId8"/>
    <sheet name="Pipeline" sheetId="7" state="visible" r:id="rId9"/>
    <sheet name="Active_Projects" sheetId="8" state="visible" r:id="rId10"/>
    <sheet name="Feedback" sheetId="9" state="visible" r:id="rId11"/>
    <sheet name="Screenings" sheetId="10" state="visible" r:id="rId12"/>
    <sheet name="NDAs" sheetId="11" state="visible" r:id="rId13"/>
    <sheet name="Agreements" sheetId="12" state="visible" r:id="rId14"/>
  </sheets>
  <definedNames>
    <definedName function="false" hidden="false" name="As_Of_Date" vbProcedure="false">Dashboard!$C$4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<sst xmlns="http://schemas.openxmlformats.org/spreadsheetml/2006/main" count="1080" uniqueCount="508">
  <si>
    <t xml:space="preserve">  VISIONBLOX COMMAND CENTER  |  CAGE 9Z4X2  |  UEI H4X2Z7R9E3E3</t>
  </si>
  <si>
    <t xml:space="preserve">  Phase 0 — Operations &amp; Performance Dashboard  |  Updated daily  |  Source-of-truth: this workbook</t>
  </si>
  <si>
    <t xml:space="preserve">As-of Date:</t>
  </si>
  <si>
    <t xml:space="preserve">← change this to view different snapshot</t>
  </si>
  <si>
    <t xml:space="preserve">FINANCIAL REALITY</t>
  </si>
  <si>
    <t xml:space="preserve">Year-1 ARR Target</t>
  </si>
  <si>
    <t xml:space="preserve">Revenue Booked YTD</t>
  </si>
  <si>
    <t xml:space="preserve">Run-Rate P/L (current)</t>
  </si>
  <si>
    <t xml:space="preserve">Gap to Break-Even</t>
  </si>
  <si>
    <t xml:space="preserve">Gap to ARR Target</t>
  </si>
  <si>
    <t xml:space="preserve">OPERATIONS</t>
  </si>
  <si>
    <t xml:space="preserve">Active Pipeline (#)</t>
  </si>
  <si>
    <t xml:space="preserve">Active Pipeline ($)</t>
  </si>
  <si>
    <t xml:space="preserve">Active Projects</t>
  </si>
  <si>
    <t xml:space="preserve">NDAs Executed YTD</t>
  </si>
  <si>
    <t xml:space="preserve">BD CADENCE  —  TRAILING WINDOWS</t>
  </si>
  <si>
    <t xml:space="preserve">KPI</t>
  </si>
  <si>
    <t xml:space="preserve">T-7d</t>
  </si>
  <si>
    <t xml:space="preserve">Prior 7d</t>
  </si>
  <si>
    <t xml:space="preserve">WoW Δ%</t>
  </si>
  <si>
    <t xml:space="preserve">T-30d</t>
  </si>
  <si>
    <t xml:space="preserve">Prior 30d</t>
  </si>
  <si>
    <t xml:space="preserve">MoM Δ%</t>
  </si>
  <si>
    <t xml:space="preserve">Target /mo</t>
  </si>
  <si>
    <t xml:space="preserve">vs Target</t>
  </si>
  <si>
    <t xml:space="preserve">Screenings</t>
  </si>
  <si>
    <t xml:space="preserve">NDAs</t>
  </si>
  <si>
    <t xml:space="preserve">Agreements</t>
  </si>
  <si>
    <t xml:space="preserve">Meetings</t>
  </si>
  <si>
    <t xml:space="preserve">New Pipeline Opps</t>
  </si>
  <si>
    <t xml:space="preserve">FINANCIAL CADENCE  —  ACTUAL vs TARGET</t>
  </si>
  <si>
    <t xml:space="preserve">Metric</t>
  </si>
  <si>
    <t xml:space="preserve">T-91d</t>
  </si>
  <si>
    <t xml:space="preserve">YTD</t>
  </si>
  <si>
    <t xml:space="preserve">Revenue ($) — actual</t>
  </si>
  <si>
    <t xml:space="preserve">Expenses ($) — actual</t>
  </si>
  <si>
    <t xml:space="preserve">Net P/L ($) — actuals only</t>
  </si>
  <si>
    <t xml:space="preserve">Expenses ($) — budgeted</t>
  </si>
  <si>
    <t xml:space="preserve">Net P/L ($) — actual rev vs budget exp</t>
  </si>
  <si>
    <t xml:space="preserve">  ⚠  Net P/L (actuals-only) is partial: Expense_Ledger has no entries yet. The "actual rev vs budget exp" row below uses pro-rated annual budget ($212,270 ÷ 365) as an expense proxy — closer to economic reality until you log actual expenses.</t>
  </si>
  <si>
    <t xml:space="preserve">ACTIVE BLOCKERS  —  PIPELINE GATING ITEMS</t>
  </si>
  <si>
    <t xml:space="preserve">• WA Secretary of State foreign entity registration (~$180) — gates all WA SLED work</t>
  </si>
  <si>
    <t xml:space="preserve">• eMMA registration (Maryland) — gates Maryland SLED pursuits including BPM054667</t>
  </si>
  <si>
    <t xml:space="preserve">• SOC 2 Type II gap assessment — recurring DQ on WA + select federal</t>
  </si>
  <si>
    <t xml:space="preserve">• GSA MAS 54151HEAL Refresh 31 remediation (7 deficiencies open)</t>
  </si>
  <si>
    <t xml:space="preserve">• Advocate IT teaming agreement (Thomas Duffy) — not executed</t>
  </si>
  <si>
    <t xml:space="preserve">  TARGETS  —  Internal Goals &amp; KPI Reference</t>
  </si>
  <si>
    <t xml:space="preserve">  Edit values in BLUE to update goals. Formulas in BLACK should not be edited.</t>
  </si>
  <si>
    <t xml:space="preserve">FINANCIAL TARGETS  (Year 1)</t>
  </si>
  <si>
    <t xml:space="preserve">New top-line goal — overrides income-statement projection</t>
  </si>
  <si>
    <t xml:space="preserve">Yearly Expense Budget</t>
  </si>
  <si>
    <t xml:space="preserve">Source: income statement (sum of expense lines)</t>
  </si>
  <si>
    <t xml:space="preserve">Yearly P/L Target</t>
  </si>
  <si>
    <t xml:space="preserve">Aspirational: P/L if Year-1 ARR target is achieved</t>
  </si>
  <si>
    <t xml:space="preserve">Confirmed Revenue: HCPSS</t>
  </si>
  <si>
    <t xml:space="preserve">Source: income statement</t>
  </si>
  <si>
    <t xml:space="preserve">Confirmed Revenue: First Brands Group</t>
  </si>
  <si>
    <t xml:space="preserve">Subtotal Confirmed Revenue</t>
  </si>
  <si>
    <t xml:space="preserve">Sum of confirmed contracts</t>
  </si>
  <si>
    <t xml:space="preserve">Run-Rate P/L (Confirmed − Budget)</t>
  </si>
  <si>
    <t xml:space="preserve">Current burn from confirmed contracts only — matches income-statement bottom line</t>
  </si>
  <si>
    <t xml:space="preserve">New revenue needed to stop losing money (cross break-even)</t>
  </si>
  <si>
    <t xml:space="preserve">Gap to ARR Target (must win)</t>
  </si>
  <si>
    <t xml:space="preserve">Amount of new business needed to hit Y1 ARR target</t>
  </si>
  <si>
    <t xml:space="preserve">MONTHLY TARGET SCHEDULE  (flat allocation = Annual ÷ 12)</t>
  </si>
  <si>
    <t xml:space="preserve">Month</t>
  </si>
  <si>
    <t xml:space="preserve">Revenue Target</t>
  </si>
  <si>
    <t xml:space="preserve">Expense Target</t>
  </si>
  <si>
    <t xml:space="preserve">P/L Target</t>
  </si>
  <si>
    <t xml:space="preserve">Cumulative Revenue Target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</si>
  <si>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</si>
  <si>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</si>
  <si>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</si>
  <si>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</si>
  <si>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</si>
  <si>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</si>
  <si>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</si>
  <si>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</si>
  <si>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</si>
  <si>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</si>
  <si>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</si>
  <si>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</si>
  <si>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BD CADENCE TARGETS</t>
  </si>
  <si>
    <t xml:space="preserve">Weekly</t>
  </si>
  <si>
    <t xml:space="preserve">Monthly (×4.33)</t>
  </si>
  <si>
    <t xml:space="preserve">Quarterly (×13)</t>
  </si>
  <si>
    <t xml:space="preserve">Annual</t>
  </si>
  <si>
    <t xml:space="preserve">Notes</t>
  </si>
  <si>
    <t xml:space="preserve">Run rate Apr 1 → Jun 1 = 6.2/wk</t>
  </si>
  <si>
    <t xml:space="preserve">NDAs Executed</t>
  </si>
  <si>
    <t xml:space="preserve">Run rate = 2.1/wk</t>
  </si>
  <si>
    <t xml:space="preserve">Agreements Executed</t>
  </si>
  <si>
    <t xml:space="preserve">Teaming/commission/partnership; run rate = 1.9/wk</t>
  </si>
  <si>
    <t xml:space="preserve">Discovery + sync + capture meetings</t>
  </si>
  <si>
    <t xml:space="preserve">Net new opportunities entered into pipeline</t>
  </si>
  <si>
    <t xml:space="preserve">PIPELINE COVERAGE TARGET  (steady-state stock, not flow)</t>
  </si>
  <si>
    <t xml:space="preserve">Active Pipeline Opportunities Tracked</t>
  </si>
  <si>
    <t xml:space="preserve">Conservative for one-capture-manager BD (Khaalis), assumes ~25% win rate on submitted opps</t>
  </si>
  <si>
    <t xml:space="preserve">  METRICS_PERIOD  —  Computed Engine  (Do not edit — formula-driven)</t>
  </si>
  <si>
    <t xml:space="preserve">  All values driven by As_Of_Date on Dashboard. Pulls from input ledgers via SUMIFS/COUNTIFS.</t>
  </si>
  <si>
    <t xml:space="preserve">#</t>
  </si>
  <si>
    <t xml:space="preserve">Prior 91d / YTD</t>
  </si>
  <si>
    <t xml:space="preserve">QoQ Δ%</t>
  </si>
  <si>
    <t xml:space="preserve">YoY Δ%</t>
  </si>
  <si>
    <t xml:space="preserve">FINANCIAL METRICS</t>
  </si>
  <si>
    <t xml:space="preserve">Revenue ($)</t>
  </si>
  <si>
    <t xml:space="preserve">Expenses ($)</t>
  </si>
  <si>
    <t xml:space="preserve">Net P/L ($)</t>
  </si>
  <si>
    <t xml:space="preserve">Legend:</t>
  </si>
  <si>
    <t xml:space="preserve">• T-7d = trailing 7 days through As_Of_Date  |  Prior 7d = the 7 days before that</t>
  </si>
  <si>
    <t xml:space="preserve">• T-30d, T-91d, T-365d same logic.  YoY uses 365-day windows.</t>
  </si>
  <si>
    <t xml:space="preserve">• "vs Target" compares T-30d actual against monthly target (negative = behind plan).</t>
  </si>
  <si>
    <t xml:space="preserve">• Pipeline opp counts use "Date Identified" (col G on Pipeline sheet).</t>
  </si>
  <si>
    <t xml:space="preserve">  REVENUE LEDGER  —  Add one row per invoice</t>
  </si>
  <si>
    <t xml:space="preserve">  Add new rows as invoices are issued. "Amount Invoiced" feeds revenue metrics. Payments tracked for cash-flow view.</t>
  </si>
  <si>
    <t xml:space="preserve">Invoice Date</t>
  </si>
  <si>
    <t xml:space="preserve">Client</t>
  </si>
  <si>
    <t xml:space="preserve">Contract #</t>
  </si>
  <si>
    <t xml:space="preserve">Invoice #</t>
  </si>
  <si>
    <t xml:space="preserve">Amount Invoiced</t>
  </si>
  <si>
    <t xml:space="preserve">Amount Paid</t>
  </si>
  <si>
    <t xml:space="preserve">Payment Date</t>
  </si>
  <si>
    <t xml:space="preserve">HCPSS</t>
  </si>
  <si>
    <t xml:space="preserve">HCPSS-2026-CY</t>
  </si>
  <si>
    <t xml:space="preserve">INV-2026-001</t>
  </si>
  <si>
    <t xml:space="preserve">Monthly retainer — Jan 2026</t>
  </si>
  <si>
    <t xml:space="preserve">First Brands Group</t>
  </si>
  <si>
    <t xml:space="preserve">FBG-2026-CY</t>
  </si>
  <si>
    <t xml:space="preserve">INV-2026-002</t>
  </si>
  <si>
    <t xml:space="preserve">INV-2026-003</t>
  </si>
  <si>
    <t xml:space="preserve">Monthly retainer — Feb 2026</t>
  </si>
  <si>
    <t xml:space="preserve">INV-2026-004</t>
  </si>
  <si>
    <t xml:space="preserve">INV-2026-005</t>
  </si>
  <si>
    <t xml:space="preserve">Monthly retainer — Mar 2026</t>
  </si>
  <si>
    <t xml:space="preserve">INV-2026-006</t>
  </si>
  <si>
    <t xml:space="preserve">INV-2026-007</t>
  </si>
  <si>
    <t xml:space="preserve">Monthly retainer — Apr 2026</t>
  </si>
  <si>
    <t xml:space="preserve">INV-2026-008</t>
  </si>
  <si>
    <t xml:space="preserve">INV-2026-009</t>
  </si>
  <si>
    <t xml:space="preserve">Monthly retainer — May 2026 (payment pending)</t>
  </si>
  <si>
    <t xml:space="preserve">INV-2026-010</t>
  </si>
  <si>
    <t xml:space="preserve">  EXPENSE LEDGER  —  Add one row per expense</t>
  </si>
  <si>
    <t xml:space="preserve">  Categories mirror the income statement: Payroll, Office, Marketing &amp; BD, Travel, Software, Taxes, Miscellaneous.</t>
  </si>
  <si>
    <t xml:space="preserve">Date</t>
  </si>
  <si>
    <t xml:space="preserve">Category</t>
  </si>
  <si>
    <t xml:space="preserve">Sub-Category</t>
  </si>
  <si>
    <t xml:space="preserve">Amount</t>
  </si>
  <si>
    <t xml:space="preserve">Vendor</t>
  </si>
  <si>
    <t xml:space="preserve">  MEETINGS LOG  —  All capture, sync, intro &amp; post-award meetings</t>
  </si>
  <si>
    <t xml:space="preserve">  Target: 2 meetings/week. Type values: Intro | Sync | Capture | Post-Award | Internal | Customer</t>
  </si>
  <si>
    <t xml:space="preserve">Partner / Entity</t>
  </si>
  <si>
    <t xml:space="preserve">Attendees (VBX side)</t>
  </si>
  <si>
    <t xml:space="preserve">Type</t>
  </si>
  <si>
    <t xml:space="preserve">Outcome / Notes</t>
  </si>
  <si>
    <t xml:space="preserve">Next Step</t>
  </si>
  <si>
    <t xml:space="preserve">Owner</t>
  </si>
  <si>
    <t xml:space="preserve">AG Grace Inc.</t>
  </si>
  <si>
    <t xml:space="preserve">Khaalis Wooden, Susan Rouse, Graham</t>
  </si>
  <si>
    <t xml:space="preserve">Sync</t>
  </si>
  <si>
    <t xml:space="preserve">Weekly Wednesday partner sync — capture, compliance, set-aside coordination</t>
  </si>
  <si>
    <t xml:space="preserve">Continue weekly cadence</t>
  </si>
  <si>
    <t xml:space="preserve">Khaalis</t>
  </si>
  <si>
    <t xml:space="preserve">Vonis Consulting</t>
  </si>
  <si>
    <t xml:space="preserve">Khaalis Wooden</t>
  </si>
  <si>
    <t xml:space="preserve">Intro</t>
  </si>
  <si>
    <t xml:space="preserve">NDA + BD Commission framework discussed (Iwona Przedpelska)</t>
  </si>
  <si>
    <t xml:space="preserve">Send commission agreement</t>
  </si>
  <si>
    <t xml:space="preserve">theta LLC</t>
  </si>
  <si>
    <t xml:space="preserve">Khaalis Wooden, Akil Chellam</t>
  </si>
  <si>
    <t xml:space="preserve">Discovery</t>
  </si>
  <si>
    <t xml:space="preserve">HHS SWIFT BPA / CMS / CDC vehicles capability discussion (Mannie Iroanya)</t>
  </si>
  <si>
    <t xml:space="preserve">Follow-up on CMS pursuits</t>
  </si>
  <si>
    <t xml:space="preserve">AgileCare</t>
  </si>
  <si>
    <t xml:space="preserve">Healthcare IT capability overlap discussion (Marion Vanzie)</t>
  </si>
  <si>
    <t xml:space="preserve">Verify set-asides and vehicles</t>
  </si>
  <si>
    <t xml:space="preserve">GD Resources (GDR)</t>
  </si>
  <si>
    <t xml:space="preserve">Maryland MBE/DBE/SBE — SLED focus (Basso Ghee)</t>
  </si>
  <si>
    <t xml:space="preserve">NDA execution</t>
  </si>
  <si>
    <t xml:space="preserve">PTECH</t>
  </si>
  <si>
    <t xml:space="preserve">Exploratory</t>
  </si>
  <si>
    <t xml:space="preserve">No near-term synergy</t>
  </si>
  <si>
    <t xml:space="preserve">FILED — no follow-up</t>
  </si>
  <si>
    <t xml:space="preserve">SRFed</t>
  </si>
  <si>
    <t xml:space="preserve">SDVOSB + GSA MAS + SeaPort NxG discussion (Paul Scace, Matthew Tarjick)</t>
  </si>
  <si>
    <t xml:space="preserve">NDA + teaming follow-up</t>
  </si>
  <si>
    <t xml:space="preserve">NetSecurely</t>
  </si>
  <si>
    <t xml:space="preserve">Cybersecurity focus (Josh Fonger)</t>
  </si>
  <si>
    <t xml:space="preserve">TDM Consultants</t>
  </si>
  <si>
    <t xml:space="preserve">Capability fit assessment (Tony Macon)</t>
  </si>
  <si>
    <t xml:space="preserve">WATCHLIST monitoring</t>
  </si>
  <si>
    <t xml:space="preserve">ResilientMind AI</t>
  </si>
  <si>
    <t xml:space="preserve">AI capabilities discussion (Joseph McGinty)</t>
  </si>
  <si>
    <t xml:space="preserve">Monitor for opportunity</t>
  </si>
  <si>
    <t xml:space="preserve">Proksi Systems</t>
  </si>
  <si>
    <t xml:space="preserve">8(a)/WOSB/EDWOSB/HUBZone stack (Riddhi Choksi, Pragnay Choksi)</t>
  </si>
  <si>
    <t xml:space="preserve">Apex Consulting</t>
  </si>
  <si>
    <t xml:space="preserve">VOSB intro (Jacob Gadd)</t>
  </si>
  <si>
    <t xml:space="preserve">Blue Rose Consulting</t>
  </si>
  <si>
    <t xml:space="preserve">Capability fit review (Todd Weiler)</t>
  </si>
  <si>
    <t xml:space="preserve">BENCH classification</t>
  </si>
  <si>
    <t xml:space="preserve">TES Consultants</t>
  </si>
  <si>
    <t xml:space="preserve">8(a)/WOSB/EDWOSB McLean VA (Elisabeth Nguyen)</t>
  </si>
  <si>
    <t xml:space="preserve">NDA finalize</t>
  </si>
  <si>
    <t xml:space="preserve">AlphaTango</t>
  </si>
  <si>
    <t xml:space="preserve">Bench eval (Anna Olvera)</t>
  </si>
  <si>
    <t xml:space="preserve">Pending further eval</t>
  </si>
  <si>
    <t xml:space="preserve">SAG / Strategic Alliances Group</t>
  </si>
  <si>
    <t xml:space="preserve">SDVOSB/WOSB/MBE/DBE — SHIELD IDIQ seat (Sharon Jacobs)</t>
  </si>
  <si>
    <t xml:space="preserve">Same-day NDA execution</t>
  </si>
  <si>
    <t xml:space="preserve">IronCloud Government Services</t>
  </si>
  <si>
    <t xml:space="preserve">Set-aside and vehicle review (Jeffrey Brown)</t>
  </si>
  <si>
    <t xml:space="preserve">CodeCypher</t>
  </si>
  <si>
    <t xml:space="preserve">HUBZone bench partner (Jeff Holmes)</t>
  </si>
  <si>
    <t xml:space="preserve">BENCH — MT AI Track 1 conditional activation</t>
  </si>
  <si>
    <t xml:space="preserve">RDE</t>
  </si>
  <si>
    <t xml:space="preserve">Limited intel; bench (C. Sullivan)</t>
  </si>
  <si>
    <t xml:space="preserve">BENCH</t>
  </si>
  <si>
    <t xml:space="preserve">SirrahPathways</t>
  </si>
  <si>
    <t xml:space="preserve">Watchlist (Sheryl Houston)</t>
  </si>
  <si>
    <t xml:space="preserve">Monitoring</t>
  </si>
  <si>
    <t xml:space="preserve">ELCOMM</t>
  </si>
  <si>
    <t xml:space="preserve">Watchlist (Ellerbee)</t>
  </si>
  <si>
    <t xml:space="preserve">Khaalis Wooden, Paul Scace</t>
  </si>
  <si>
    <t xml:space="preserve">NDA executed; teaming discussion</t>
  </si>
  <si>
    <t xml:space="preserve">Master teaming agreement</t>
  </si>
  <si>
    <t xml:space="preserve">Khaalis Wooden, Riddhi Choksi</t>
  </si>
  <si>
    <t xml:space="preserve">NDA executed</t>
  </si>
  <si>
    <t xml:space="preserve">Vehicle access discussion</t>
  </si>
  <si>
    <t xml:space="preserve">Invicta Solutions Group</t>
  </si>
  <si>
    <t xml:space="preserve">NDA executed; intro call pending</t>
  </si>
  <si>
    <t xml:space="preserve">Schedule intro call</t>
  </si>
  <si>
    <t xml:space="preserve">MTNT</t>
  </si>
  <si>
    <t xml:space="preserve">Khaalis Wooden, David Shearman</t>
  </si>
  <si>
    <t xml:space="preserve">ANC 8(a) sole-source authority discussion (up to $25M civilian / $100M DoD)</t>
  </si>
  <si>
    <t xml:space="preserve">IHS/HRSA angle pursuit</t>
  </si>
  <si>
    <t xml:space="preserve">Copper River Technologies</t>
  </si>
  <si>
    <t xml:space="preserve">Khaalis Wooden, Bradley Halladay, Bill Halladay</t>
  </si>
  <si>
    <t xml:space="preserve">IHS EHR (PATH); GDIT prime context; SEWP V / ITES-4H access</t>
  </si>
  <si>
    <t xml:space="preserve">Kompkoff (DHITMO) / Thornbrugh (IHS OIT) intro</t>
  </si>
  <si>
    <t xml:space="preserve">Khaalis Wooden, Iwona Przedpelska</t>
  </si>
  <si>
    <t xml:space="preserve">BD Commission Agreement executed</t>
  </si>
  <si>
    <t xml:space="preserve">BD referral active</t>
  </si>
  <si>
    <t xml:space="preserve">Boots to Cyber (B2C)</t>
  </si>
  <si>
    <t xml:space="preserve">Cindy Gaddis; SAM expired Jan 2024; cyber staffing — no Healthcare IT overlap</t>
  </si>
  <si>
    <t xml:space="preserve">Nacient LLC</t>
  </si>
  <si>
    <t xml:space="preserve">Khaalis Wooden, Karen Perez Diaz</t>
  </si>
  <si>
    <t xml:space="preserve">IAM/Zero Trust/Azure WOSB/EDWOSB bench</t>
  </si>
  <si>
    <t xml:space="preserve">OMNI (Jonathan Rendon)</t>
  </si>
  <si>
    <t xml:space="preserve">Khaalis Wooden, Jonathan Rendon</t>
  </si>
  <si>
    <t xml:space="preserve">Warm intros to NCP + BAC on RHTP thread</t>
  </si>
  <si>
    <t xml:space="preserve">Schedule NCP + BAC capture calls</t>
  </si>
  <si>
    <t xml:space="preserve">Kundlas Consulting Group</t>
  </si>
  <si>
    <t xml:space="preserve">Khaalis Wooden, Sandeep Singh Kundlas, Aman Muskeen</t>
  </si>
  <si>
    <t xml:space="preserve">HUBZone + ISO 27001:2022; physical infra adjacency, IT-adjacent via Aman (AWS-SAA, CCSP)</t>
  </si>
  <si>
    <t xml:space="preserve">Skilak Consulting</t>
  </si>
  <si>
    <t xml:space="preserve">Khaalis Wooden, Faith Kannoju</t>
  </si>
  <si>
    <t xml:space="preserve">Call held as primary data event; CAGE 9Q428 confirmed; website offline; zero FPDS history</t>
  </si>
  <si>
    <t xml:space="preserve">WATCHLIST pending debrief</t>
  </si>
  <si>
    <t xml:space="preserve">C2C Service LLC</t>
  </si>
  <si>
    <t xml:space="preserve">Clarisa Trevino; Stage 2 hard fail — NAICS mismatch + Michigan only + zero federal IT PP</t>
  </si>
  <si>
    <t xml:space="preserve">ImEx Cargo LLC</t>
  </si>
  <si>
    <t xml:space="preserve">Michelle DeFronzo; Gate 1 kill — freight logistics operator</t>
  </si>
  <si>
    <t xml:space="preserve">National Consulting Partners (NCP)</t>
  </si>
  <si>
    <t xml:space="preserve">Matthew Robinson; warm intro from OMNI; GSA MAS 54151HEAL prime = Refresh 31 bridge</t>
  </si>
  <si>
    <t xml:space="preserve">Schedule call within 5 BD days</t>
  </si>
  <si>
    <t xml:space="preserve">Ben Allegretti Consulting (BAC)</t>
  </si>
  <si>
    <t xml:space="preserve">Rixon Rafter JD MA; VHA Digital Health Office IDIQ; 19-yr VHA informatics prime; score 8/8</t>
  </si>
  <si>
    <t xml:space="preserve">Schedule capture call</t>
  </si>
  <si>
    <t xml:space="preserve">Thorium One</t>
  </si>
  <si>
    <t xml:space="preserve">Chad; SDVOSB mgmt consulting / tech broker; Gate 1 kill on all 4 VBX lanes</t>
  </si>
  <si>
    <t xml:space="preserve">  PIPELINE  —  Active Opportunities</t>
  </si>
  <si>
    <t xml:space="preserve">  Stage values: Identified | Qualified | Capture | Submitted | Awarded | Lost | No-Bid. Target: 20 active opps at steady state.</t>
  </si>
  <si>
    <t xml:space="preserve">Opp ID</t>
  </si>
  <si>
    <t xml:space="preserve">Opportunity Name</t>
  </si>
  <si>
    <t xml:space="preserve">Agency / Client</t>
  </si>
  <si>
    <t xml:space="preserve">NAICS</t>
  </si>
  <si>
    <t xml:space="preserve">Stage</t>
  </si>
  <si>
    <t xml:space="preserve">Est. Value ($)</t>
  </si>
  <si>
    <t xml:space="preserve">Date Identified</t>
  </si>
  <si>
    <t xml:space="preserve">Stage Date</t>
  </si>
  <si>
    <t xml:space="preserve">Capture Owner</t>
  </si>
  <si>
    <t xml:space="preserve">OPP-001</t>
  </si>
  <si>
    <t xml:space="preserve">Montana AI Products &amp; Services (SPB-RFP-2026-0608GW) — Track 1</t>
  </si>
  <si>
    <t xml:space="preserve">Montana State Procurement</t>
  </si>
  <si>
    <t xml:space="preserve">541511</t>
  </si>
  <si>
    <t xml:space="preserve">Submitted</t>
  </si>
  <si>
    <t xml:space="preserve">Bid in flight with AG Grace. AI Track 1.</t>
  </si>
  <si>
    <t xml:space="preserve">OPP-002</t>
  </si>
  <si>
    <t xml:space="preserve">Maryland Statewide Network Services (BPM054667) FA4</t>
  </si>
  <si>
    <t xml:space="preserve">Maryland DoIT</t>
  </si>
  <si>
    <t xml:space="preserve">541519</t>
  </si>
  <si>
    <t xml:space="preserve">Capture</t>
  </si>
  <si>
    <t xml:space="preserve">BLOCKED: eMMA registration required. Teaming with AG Grace.</t>
  </si>
  <si>
    <t xml:space="preserve">OPP-003</t>
  </si>
  <si>
    <t xml:space="preserve">WA DOH Statewide Rural Health Program (RFP 26-005C)</t>
  </si>
  <si>
    <t xml:space="preserve">Washington State DOH</t>
  </si>
  <si>
    <t xml:space="preserve">541512</t>
  </si>
  <si>
    <t xml:space="preserve">Qualified</t>
  </si>
  <si>
    <t xml:space="preserve">BLOCKED: SOC 2 Type II + WA foreign entity registration.</t>
  </si>
  <si>
    <t xml:space="preserve">OPP-004</t>
  </si>
  <si>
    <t xml:space="preserve">Rural Health Transformation Program (RHTP) — Maryland state lane</t>
  </si>
  <si>
    <t xml:space="preserve">Maryland Dept of Health / CMS</t>
  </si>
  <si>
    <t xml:space="preserve">Identified</t>
  </si>
  <si>
    <t xml:space="preserve">$50B CMS initiative. GRHD framework alignment. Subcontract path TBD.</t>
  </si>
  <si>
    <t xml:space="preserve">OPP-005</t>
  </si>
  <si>
    <t xml:space="preserve">Rural Health Transformation Program (RHTP) — Texas state lane</t>
  </si>
  <si>
    <t xml:space="preserve">Texas HHS / CMS</t>
  </si>
  <si>
    <t xml:space="preserve">RHTP Texas. Partner alignment with NCP / BAC for VHA-adjacent.</t>
  </si>
  <si>
    <t xml:space="preserve">  ACTIVE PROJECTS  —  Post-award execution tracking</t>
  </si>
  <si>
    <t xml:space="preserve">  Add a row when a contract is awarded. Status values: Active | Paused | Complete | Closeout.</t>
  </si>
  <si>
    <t xml:space="preserve">Project ID</t>
  </si>
  <si>
    <t xml:space="preserve">Project Name</t>
  </si>
  <si>
    <t xml:space="preserve">Contract Type</t>
  </si>
  <si>
    <t xml:space="preserve">Value ($)</t>
  </si>
  <si>
    <t xml:space="preserve">Start Date</t>
  </si>
  <si>
    <t xml:space="preserve">End Date</t>
  </si>
  <si>
    <t xml:space="preserve">Status</t>
  </si>
  <si>
    <t xml:space="preserve">% Complete</t>
  </si>
  <si>
    <t xml:space="preserve">PM / Lead</t>
  </si>
  <si>
    <t xml:space="preserve">  FEEDBACK LOG  —  Internal &amp; External</t>
  </si>
  <si>
    <t xml:space="preserve">  Source: Internal | External.  Type: CPARS | Survey | Email | Verbal | Slack.  Sentiment: + | 0 | −</t>
  </si>
  <si>
    <t xml:space="preserve">Source</t>
  </si>
  <si>
    <t xml:space="preserve">Party</t>
  </si>
  <si>
    <t xml:space="preserve">Sentiment</t>
  </si>
  <si>
    <t xml:space="preserve">Summary</t>
  </si>
  <si>
    <t xml:space="preserve">Action Required</t>
  </si>
  <si>
    <t xml:space="preserve">  SCREENINGS  —  All Partner Entities (Source of Truth)</t>
  </si>
  <si>
    <t xml:space="preserve">  Col E (Screen Date Norm) is the date used by metrics. Edit textual screen dates in col D for display only.</t>
  </si>
  <si>
    <t xml:space="preserve">Company</t>
  </si>
  <si>
    <t xml:space="preserve">Primary Contact</t>
  </si>
  <si>
    <t xml:space="preserve">Set-Aside</t>
  </si>
  <si>
    <t xml:space="preserve">Screen Date (Norm)</t>
  </si>
  <si>
    <t xml:space="preserve">NDA Date</t>
  </si>
  <si>
    <t xml:space="preserve">Vertical</t>
  </si>
  <si>
    <t xml:space="preserve">Classification</t>
  </si>
  <si>
    <t xml:space="preserve">Screen Date (Display)</t>
  </si>
  <si>
    <t xml:space="preserve">Susan Rouse</t>
  </si>
  <si>
    <t xml:space="preserve">SDVOSB / WOSB / CMMC-ATP / C3PAO</t>
  </si>
  <si>
    <t xml:space="preserve">Cyber / Fed Healthcare IT</t>
  </si>
  <si>
    <t xml:space="preserve">PRIORITY</t>
  </si>
  <si>
    <t xml:space="preserve">Pre-4/1/26</t>
  </si>
  <si>
    <t xml:space="preserve">DataCom Solutions</t>
  </si>
  <si>
    <t xml:space="preserve">Jerry Brooks</t>
  </si>
  <si>
    <t xml:space="preserve">SDVOSB / HUBZone / 8(a)</t>
  </si>
  <si>
    <t xml:space="preserve">Federal IT / Cloud</t>
  </si>
  <si>
    <t xml:space="preserve">Synovix</t>
  </si>
  <si>
    <t xml:space="preserve">Joe Green</t>
  </si>
  <si>
    <t xml:space="preserve">SDVOSB</t>
  </si>
  <si>
    <t xml:space="preserve">Federal IT / Healthcare IT</t>
  </si>
  <si>
    <t xml:space="preserve">Mannie Iroanya</t>
  </si>
  <si>
    <t xml:space="preserve">8(a) / HUBZone</t>
  </si>
  <si>
    <t xml:space="preserve">Fed Healthcare IT (CMS/HHS)</t>
  </si>
  <si>
    <t xml:space="preserve">4/19/2026</t>
  </si>
  <si>
    <t xml:space="preserve">Marion Vanzie</t>
  </si>
  <si>
    <t xml:space="preserve">– (verify)</t>
  </si>
  <si>
    <t xml:space="preserve">Healthcare IT</t>
  </si>
  <si>
    <t xml:space="preserve">Paul Scace</t>
  </si>
  <si>
    <t xml:space="preserve">Federal IT / GovCon</t>
  </si>
  <si>
    <t xml:space="preserve">4/23/2026</t>
  </si>
  <si>
    <t xml:space="preserve">Riddhi Choksi</t>
  </si>
  <si>
    <t xml:space="preserve">8(a) / WOSB / EDWOSB / HUBZone</t>
  </si>
  <si>
    <t xml:space="preserve">4/27/2026</t>
  </si>
  <si>
    <t xml:space="preserve">Elisabeth Nguyen</t>
  </si>
  <si>
    <t xml:space="preserve">8(a) / WOSB / EDWOSB</t>
  </si>
  <si>
    <t xml:space="preserve">4/28/2026</t>
  </si>
  <si>
    <t xml:space="preserve">Sharon Jacobs</t>
  </si>
  <si>
    <t xml:space="preserve">SDVOSB / WOSB / MBE / DBE</t>
  </si>
  <si>
    <t xml:space="preserve">Federal IT / SLED</t>
  </si>
  <si>
    <t xml:space="preserve">4/30/2026</t>
  </si>
  <si>
    <t xml:space="preserve">ISG / Invicta Solutions Group</t>
  </si>
  <si>
    <t xml:space="preserve">–</t>
  </si>
  <si>
    <t xml:space="preserve">Federal IT</t>
  </si>
  <si>
    <t xml:space="preserve">OMNI</t>
  </si>
  <si>
    <t xml:space="preserve">Jonathan Rendon</t>
  </si>
  <si>
    <t xml:space="preserve">Federal IT / VA</t>
  </si>
  <si>
    <t xml:space="preserve">David Shearman</t>
  </si>
  <si>
    <t xml:space="preserve">ANC 8(a) – Tribal</t>
  </si>
  <si>
    <t xml:space="preserve">IHS / HRSA / USDA Rural</t>
  </si>
  <si>
    <t xml:space="preserve">5/12/2026</t>
  </si>
  <si>
    <t xml:space="preserve">Bradley Halladay</t>
  </si>
  <si>
    <t xml:space="preserve">IHS EHR / Fed Healthcare IT</t>
  </si>
  <si>
    <t xml:space="preserve">West Point Security</t>
  </si>
  <si>
    <t xml:space="preserve">Norman Massry</t>
  </si>
  <si>
    <t xml:space="preserve">Cybersecurity / NY-NJ SLED</t>
  </si>
  <si>
    <t xml:space="preserve">Apr 2026</t>
  </si>
  <si>
    <t xml:space="preserve">Advocate IT</t>
  </si>
  <si>
    <t xml:space="preserve">Thomas Duffy</t>
  </si>
  <si>
    <t xml:space="preserve">HUBZone / DOBE</t>
  </si>
  <si>
    <t xml:space="preserve">Federal IT / DoD (Ft. Meade)</t>
  </si>
  <si>
    <t xml:space="preserve">Jacob Gadd</t>
  </si>
  <si>
    <t xml:space="preserve">VOSB</t>
  </si>
  <si>
    <t xml:space="preserve">Josh Fonger</t>
  </si>
  <si>
    <t xml:space="preserve">Todd Weiler</t>
  </si>
  <si>
    <t xml:space="preserve">Anna Olvera</t>
  </si>
  <si>
    <t xml:space="preserve">Basso Ghee</t>
  </si>
  <si>
    <t xml:space="preserve">Maryland MBE / DBE / SBE</t>
  </si>
  <si>
    <t xml:space="preserve">4/20/2026</t>
  </si>
  <si>
    <t xml:space="preserve">C. Sullivan</t>
  </si>
  <si>
    <t xml:space="preserve">5/4/2026</t>
  </si>
  <si>
    <t xml:space="preserve">Jeff Holmes</t>
  </si>
  <si>
    <t xml:space="preserve">Jones &amp; Associates</t>
  </si>
  <si>
    <t xml:space="preserve">SDVOSB / MBE / DBE</t>
  </si>
  <si>
    <t xml:space="preserve">HumanEdge</t>
  </si>
  <si>
    <t xml:space="preserve">Russell Brown</t>
  </si>
  <si>
    <t xml:space="preserve">WATCHLIST</t>
  </si>
  <si>
    <t xml:space="preserve">Sharee Legree</t>
  </si>
  <si>
    <t xml:space="preserve">BeehiveTech</t>
  </si>
  <si>
    <t xml:space="preserve">Patrick Simon</t>
  </si>
  <si>
    <t xml:space="preserve">Jeffrey Brown</t>
  </si>
  <si>
    <t xml:space="preserve">4/22/2026</t>
  </si>
  <si>
    <t xml:space="preserve">Tony Macon</t>
  </si>
  <si>
    <t xml:space="preserve">Joseph McGinty</t>
  </si>
  <si>
    <t xml:space="preserve">4/26/2026</t>
  </si>
  <si>
    <t xml:space="preserve">Sheryl Houston</t>
  </si>
  <si>
    <t xml:space="preserve">Ellerbee</t>
  </si>
  <si>
    <t xml:space="preserve">FailProof Credit</t>
  </si>
  <si>
    <t xml:space="preserve">Justin Brown</t>
  </si>
  <si>
    <t xml:space="preserve">RTD</t>
  </si>
  <si>
    <t xml:space="preserve">James Wood</t>
  </si>
  <si>
    <t xml:space="preserve">FILED</t>
  </si>
  <si>
    <t xml:space="preserve">Talantage</t>
  </si>
  <si>
    <t xml:space="preserve">Tasha Peck</t>
  </si>
  <si>
    <t xml:space="preserve">Iwona Przedpelska</t>
  </si>
  <si>
    <t xml:space="preserve">CadenceProcurement</t>
  </si>
  <si>
    <t xml:space="preserve">Shaneiqua Johnson</t>
  </si>
  <si>
    <t xml:space="preserve">KeystoneGeneral</t>
  </si>
  <si>
    <t xml:space="preserve">Bryan Read</t>
  </si>
  <si>
    <t xml:space="preserve">Maywell Solutions</t>
  </si>
  <si>
    <t xml:space="preserve">Kofoworola Adeoti</t>
  </si>
  <si>
    <t xml:space="preserve">OMI</t>
  </si>
  <si>
    <t xml:space="preserve">AuraConsulting</t>
  </si>
  <si>
    <t xml:space="preserve">Anjali Singh</t>
  </si>
  <si>
    <t xml:space="preserve">EmeraldCyber</t>
  </si>
  <si>
    <t xml:space="preserve">Cassandra Pristas</t>
  </si>
  <si>
    <t xml:space="preserve">4/15/2026</t>
  </si>
  <si>
    <t xml:space="preserve">Jason Craig</t>
  </si>
  <si>
    <t xml:space="preserve">NetSecurely (Figueroa)</t>
  </si>
  <si>
    <t xml:space="preserve">Figueroa</t>
  </si>
  <si>
    <t xml:space="preserve">VALORtech</t>
  </si>
  <si>
    <t xml:space="preserve">FortunaBMC</t>
  </si>
  <si>
    <t xml:space="preserve">Grit Government Solutions</t>
  </si>
  <si>
    <t xml:space="preserve">Candidate Solutions</t>
  </si>
  <si>
    <t xml:space="preserve">Linda Wiggins</t>
  </si>
  <si>
    <t xml:space="preserve">Novarens Systems</t>
  </si>
  <si>
    <t xml:space="preserve">National Consulting Partners LLC (NCP)</t>
  </si>
  <si>
    <t xml:space="preserve">Matthew Robinson</t>
  </si>
  <si>
    <t xml:space="preserve">Federal Healthcare IT / VA / Medicaid Modernization</t>
  </si>
  <si>
    <t xml:space="preserve">6/1/2026</t>
  </si>
  <si>
    <t xml:space="preserve">Rixon Rafter, JD MA</t>
  </si>
  <si>
    <t xml:space="preserve">Federal Healthcare IT / VA / VHA Informatics</t>
  </si>
  <si>
    <t xml:space="preserve">Kundlas Consulting Group LLC</t>
  </si>
  <si>
    <t xml:space="preserve">Mustafa Jan</t>
  </si>
  <si>
    <t xml:space="preserve">HUBZone / Indiana MBE / SWAM (VA) / MWBE (KY) / ISO 27001:2022</t>
  </si>
  <si>
    <t xml:space="preserve">5/26/2026</t>
  </si>
  <si>
    <t xml:space="preserve">Skilak Consulting LLC</t>
  </si>
  <si>
    <t xml:space="preserve">Faith Kannoju</t>
  </si>
  <si>
    <t xml:space="preserve">UNVERIFIED (call deferred)</t>
  </si>
  <si>
    <t xml:space="preserve">Boots to Cyber (B2C) / Boots 2 Cyber LLC</t>
  </si>
  <si>
    <t xml:space="preserve">Cindy Gaddis</t>
  </si>
  <si>
    <t xml:space="preserve">5/18/2026</t>
  </si>
  <si>
    <t xml:space="preserve">Clarisa Trevino</t>
  </si>
  <si>
    <t xml:space="preserve">5/29/2026</t>
  </si>
  <si>
    <t xml:space="preserve">Michelle DeFronzo</t>
  </si>
  <si>
    <t xml:space="preserve">Thorium One LLC</t>
  </si>
  <si>
    <t xml:space="preserve">Chad [Last Name TBC]</t>
  </si>
  <si>
    <t xml:space="preserve">  NDAs  —  Executed NDA Register</t>
  </si>
  <si>
    <t xml:space="preserve">  Col D (NDA Date) is the date used by metrics. Source: Visionblox NDA register.</t>
  </si>
  <si>
    <t xml:space="preserve">Recipient / Entity</t>
  </si>
  <si>
    <t xml:space="preserve">Contact</t>
  </si>
  <si>
    <t xml:space="preserve">Document Filename</t>
  </si>
  <si>
    <t xml:space="preserve">Partner Classification</t>
  </si>
  <si>
    <t xml:space="preserve">VBX_NDA_IwonaPrzedpelska_2026-04-17.docx</t>
  </si>
  <si>
    <t xml:space="preserve">Executed</t>
  </si>
  <si>
    <t xml:space="preserve">Cadence Procurement</t>
  </si>
  <si>
    <t xml:space="preserve">Visionblox_NDA_CadenceProcurement_ShaneiquaJohnson_2026-04.docx</t>
  </si>
  <si>
    <t xml:space="preserve">Visionblox_NDA_GritGovernmentSolutions_2026-04.docx</t>
  </si>
  <si>
    <t xml:space="preserve">Visionblox_NDA_MaywellSolutions_2026-04.docx</t>
  </si>
  <si>
    <t xml:space="preserve">Visionblox_NDA_CandidateSolutions_LindaWiggins_2026-04.docx</t>
  </si>
  <si>
    <t xml:space="preserve">Visionblox_NDA_NovarenSystems_2026-04.docx</t>
  </si>
  <si>
    <t xml:space="preserve">Visionblox_NDA_WestPointSecurity_2026-04.docx</t>
  </si>
  <si>
    <t xml:space="preserve">Visionblox_NDA_NetSecurely_2026-04-27.docx</t>
  </si>
  <si>
    <t xml:space="preserve">Visionblox_NDA_FortunaBMC_2026-04-28.docx</t>
  </si>
  <si>
    <t xml:space="preserve">TES Consultants (Final)</t>
  </si>
  <si>
    <t xml:space="preserve">Visionblox_NDA_TESConsultants_2026-04-29_Final.docx</t>
  </si>
  <si>
    <t xml:space="preserve">Visionblox_NDA_ApexConsulting_JacobGadd_2026-04-29.docx</t>
  </si>
  <si>
    <t xml:space="preserve">Strategic Alliances Group (SAG)</t>
  </si>
  <si>
    <t xml:space="preserve">Visionblox_NDA_StrategicAlliancesGroup_2026-04-30.docx</t>
  </si>
  <si>
    <t xml:space="preserve">Visionblox_NDA_GDResources_BassoGhee_2026-04-30.docx</t>
  </si>
  <si>
    <t xml:space="preserve">Visionblox_NDA_IronCloudGovernmentServices_2026-05-04.docx</t>
  </si>
  <si>
    <t xml:space="preserve">Visionblox_NDA_SRFed_2026-05-06.docx</t>
  </si>
  <si>
    <t xml:space="preserve">Invicta Solutions Group (ISG)</t>
  </si>
  <si>
    <t xml:space="preserve">Visionblox_NDA_InvictaSolutionsGroup_2026-05-06.docx</t>
  </si>
  <si>
    <t xml:space="preserve">Visionblox_NDA_ProksiSystems_RiddhiChoksi_2026-05-06.docx</t>
  </si>
  <si>
    <t xml:space="preserve">Visionblox_NDA_TDMConsultants_2026-05-17.docx</t>
  </si>
  <si>
    <t xml:space="preserve">Karen Perez Diaz</t>
  </si>
  <si>
    <t xml:space="preserve">Visionblox_NDA_NacientLLC_2026-05-20.docx</t>
  </si>
  <si>
    <t xml:space="preserve">  AGREEMENTS  —  Teaming | Commission | Partnership</t>
  </si>
  <si>
    <t xml:space="preserve">  Col D (Date) is the date used by metrics. Includes all executed agreements.</t>
  </si>
  <si>
    <t xml:space="preserve">Party / Entity</t>
  </si>
  <si>
    <t xml:space="preserve">Agreement Type</t>
  </si>
  <si>
    <t xml:space="preserve">BD Commission Agreement</t>
  </si>
  <si>
    <t xml:space="preserve">VBX_CommissionAgreement_VonisCons_IwonaPrzedpelska_20260517.docx</t>
  </si>
  <si>
    <t xml:space="preserve">BD referral / commission role; Vonis is a FILED partner — referral only</t>
  </si>
  <si>
    <t xml:space="preserve">[Standard Template]</t>
  </si>
  <si>
    <t xml:space="preserve">BD Commission Agreement — Template</t>
  </si>
  <si>
    <t xml:space="preserve">VBX_BDCommissionAgreement_Standard.docx</t>
  </si>
  <si>
    <t xml:space="preserve">Template on File</t>
  </si>
  <si>
    <t xml:space="preserve">Master template; not yet executed with any active PRIORITY partner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</si>
</sst>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\$#,##0;&quot;($&quot;#,##0\);\-"/>
    <numFmt numFmtId="167" formatCode="#,##0;\(#,##0\);\-"/>
    <numFmt numFmtId="168" formatCode="0.0%;\(0.0%\);\-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232D5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232D5A"/>
      <name val="Arial"/>
      <family val="0"/>
      <charset val="1"/>
    </font>
    <font>
      <i val="true"/>
      <sz val="10"/>
      <color rgb="FF232D5A"/>
      <name val="Arial"/>
      <family val="0"/>
      <charset val="1"/>
    </font>
    <font>
      <b val="true"/>
      <sz val="12"/>
      <color rgb="FF232D5A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B71C1C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10"/>
      <color rgb="FF2EA89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32D5A"/>
        <bgColor rgb="FF003366"/>
      </patternFill>
    </fill>
    <fill>
      <patternFill patternType="solid">
        <fgColor rgb="FFFFFBEC"/>
        <bgColor rgb="FFFFF8E1"/>
      </patternFill>
    </fill>
    <fill>
      <patternFill patternType="solid">
        <fgColor rgb="FFF7B801"/>
        <bgColor rgb="FFFF9900"/>
      </patternFill>
    </fill>
    <fill>
      <patternFill patternType="solid">
        <fgColor rgb="FFF5F5F5"/>
        <bgColor rgb="FFE8F4F2"/>
      </patternFill>
    </fill>
    <fill>
      <patternFill patternType="solid">
        <fgColor rgb="FFFCE8E6"/>
        <bgColor rgb="FFFFF4D6"/>
      </patternFill>
    </fill>
    <fill>
      <patternFill patternType="solid">
        <fgColor rgb="FFFFF4D6"/>
        <bgColor rgb="FFFFF8E1"/>
      </patternFill>
    </fill>
    <fill>
      <patternFill patternType="solid">
        <fgColor rgb="FFFFF8E1"/>
        <bgColor rgb="FFFFFBEC"/>
      </patternFill>
    </fill>
    <fill>
      <patternFill patternType="solid">
        <fgColor rgb="FFE8F4F2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E8E6"/>
        </patternFill>
      </fill>
    </dxf>
    <dxf>
      <fill>
        <patternFill>
          <bgColor rgb="FFE6F4EA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CCBC"/>
        </patternFill>
      </fill>
    </dxf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6F4EA"/>
      <rgbColor rgb="FF660066"/>
      <rgbColor rgb="FFFF8080"/>
      <rgbColor rgb="FF0066CC"/>
      <rgbColor rgb="FFE0E0E0"/>
      <rgbColor rgb="FF000080"/>
      <rgbColor rgb="FFFF00FF"/>
      <rgbColor rgb="FFFFFBEC"/>
      <rgbColor rgb="FF00FFFF"/>
      <rgbColor rgb="FF800080"/>
      <rgbColor rgb="FF800000"/>
      <rgbColor rgb="FF008080"/>
      <rgbColor rgb="FF0000FF"/>
      <rgbColor rgb="FF00CCFF"/>
      <rgbColor rgb="FFE8F4F2"/>
      <rgbColor rgb="FFC8E6C9"/>
      <rgbColor rgb="FFFFF59D"/>
      <rgbColor rgb="FFB0BEC5"/>
      <rgbColor rgb="FFFCE8E6"/>
      <rgbColor rgb="FFF5F5F5"/>
      <rgbColor rgb="FFFFCCBC"/>
      <rgbColor rgb="FF3366FF"/>
      <rgbColor rgb="FF33CCCC"/>
      <rgbColor rgb="FF99CC00"/>
      <rgbColor rgb="FFF7B801"/>
      <rgbColor rgb="FFFF9900"/>
      <rgbColor rgb="FFFF6600"/>
      <rgbColor rgb="FF666699"/>
      <rgbColor rgb="FF90A4AE"/>
      <rgbColor rgb="FF003366"/>
      <rgbColor rgb="FF2EA891"/>
      <rgbColor rgb="FF003300"/>
      <rgbColor rgb="FF333300"/>
      <rgbColor rgb="FFB71C1C"/>
      <rgbColor rgb="FF993366"/>
      <rgbColor rgb="FF333399"/>
      <rgbColor rgb="FF232D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2D5A"/>
    <pageSetUpPr fitToPage="false"/>
  </sheetPr>
  <dimension ref="A1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8"/>
    <col collapsed="false" customWidth="true" hidden="false" outlineLevel="0" max="9" min="9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3" t="s">
        <v>2</v>
      </c>
      <c r="C4" s="4" t="n">
        <v>46174</v>
      </c>
      <c r="D4" s="5" t="s">
        <v>3</v>
      </c>
    </row>
    <row r="6" customFormat="false" ht="15" hidden="false" customHeight="false" outlineLevel="0" collapsed="false">
      <c r="B6" s="6" t="s">
        <v>4</v>
      </c>
    </row>
    <row r="7" customFormat="false" ht="30" hidden="false" customHeight="true" outlineLevel="0" collapsed="false"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</row>
    <row r="8" customFormat="false" ht="36" hidden="false" customHeight="true" outlineLevel="0" collapsed="false">
      <c r="C8" s="8" t="n">
        <f aca="false">Targets!C5</f>
        <v>500000</v>
      </c>
      <c r="D8" s="8" t="n">
        <f aca="false">SUMIFS(Revenue_Ledger!E:E,Revenue_Ledger!A:A,"&gt;="&amp;DATE(YEAR(As_Of_Date),1,1),Revenue_Ledger!A:A,"&lt;="&amp;As_Of_Date)</f>
        <v>68500</v>
      </c>
      <c r="E8" s="9" t="n">
        <f aca="false">Targets!C12</f>
        <v>-47870</v>
      </c>
      <c r="F8" s="10" t="n">
        <f aca="false">Targets!C13</f>
        <v>47870</v>
      </c>
      <c r="G8" s="10" t="n">
        <f aca="false">Targets!C14</f>
        <v>335600</v>
      </c>
    </row>
    <row r="10" customFormat="false" ht="15" hidden="false" customHeight="false" outlineLevel="0" collapsed="false">
      <c r="B10" s="6" t="s">
        <v>10</v>
      </c>
    </row>
    <row r="11" customFormat="false" ht="30" hidden="false" customHeight="true" outlineLevel="0" collapsed="false">
      <c r="C11" s="7" t="s">
        <v>11</v>
      </c>
      <c r="D11" s="7" t="s">
        <v>12</v>
      </c>
      <c r="E11" s="7" t="s">
        <v>13</v>
      </c>
      <c r="F11" s="7" t="s">
        <v>14</v>
      </c>
    </row>
    <row r="12" customFormat="false" ht="36" hidden="false" customHeight="true" outlineLevel="0" collapsed="false">
      <c r="C12" s="11" t="n">
        <f aca="false">SUMPRODUCT((Pipeline!E5:E1000&lt;&gt;"")*(Pipeline!E5:E1000&lt;&gt;"Awarded")*(Pipeline!E5:E1000&lt;&gt;"Lost"))</f>
        <v>8</v>
      </c>
      <c r="D12" s="8" t="n">
        <f aca="false">SUMIFS(Pipeline!F5:F1000,Pipeline!E5:E1000,"&lt;&gt;Awarded",Pipeline!E5:E1000,"&lt;&gt;Lost",Pipeline!E5:E1000,"&lt;&gt;")</f>
        <v>14500000</v>
      </c>
      <c r="E12" s="11" t="n">
        <f aca="false">COUNTIFS(Active_Projects!H:H,"Active")</f>
        <v>0</v>
      </c>
      <c r="F12" s="11" t="n">
        <f aca="false">COUNTIFS(NDAs!D:D,"&gt;="&amp;DATE(YEAR(As_Of_Date),1,1),NDAs!D:D,"&lt;="&amp;As_Of_Date)</f>
        <v>19</v>
      </c>
    </row>
    <row r="14" customFormat="false" ht="15" hidden="false" customHeight="false" outlineLevel="0" collapsed="false">
      <c r="B14" s="6" t="s">
        <v>15</v>
      </c>
    </row>
    <row r="15" customFormat="false" ht="25.5" hidden="false" customHeight="true" outlineLevel="0" collapsed="false">
      <c r="B15" s="12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</row>
    <row r="16" customFormat="false" ht="15" hidden="false" customHeight="false" outlineLevel="0" collapsed="false">
      <c r="B16" s="13" t="s">
        <v>25</v>
      </c>
      <c r="C16" s="14" t="n">
        <f aca="false">Metrics_Period!C5</f>
        <v>7</v>
      </c>
      <c r="D16" s="14" t="n">
        <f aca="false">Metrics_Period!D5</f>
        <v>1</v>
      </c>
      <c r="E16" s="15" t="n">
        <f aca="false">Metrics_Period!E5</f>
        <v>6</v>
      </c>
      <c r="F16" s="14" t="n">
        <f aca="false">Metrics_Period!F5</f>
        <v>14</v>
      </c>
      <c r="G16" s="14" t="n">
        <f aca="false">Metrics_Period!G5</f>
        <v>36</v>
      </c>
      <c r="H16" s="15" t="n">
        <f aca="false">Metrics_Period!H5</f>
        <v>-0.611111111111111</v>
      </c>
      <c r="I16" s="14" t="n">
        <f aca="false">Metrics_Period!I5</f>
        <v>26</v>
      </c>
      <c r="J16" s="15" t="n">
        <f aca="false">Metrics_Period!J5</f>
        <v>-0.461538461538462</v>
      </c>
    </row>
    <row r="17" customFormat="false" ht="15" hidden="false" customHeight="false" outlineLevel="0" collapsed="false">
      <c r="B17" s="13" t="s">
        <v>26</v>
      </c>
      <c r="C17" s="14" t="n">
        <f aca="false">Metrics_Period!C6</f>
        <v>0</v>
      </c>
      <c r="D17" s="14" t="n">
        <f aca="false">Metrics_Period!D6</f>
        <v>1</v>
      </c>
      <c r="E17" s="15" t="n">
        <f aca="false">Metrics_Period!E6</f>
        <v>-1</v>
      </c>
      <c r="F17" s="14" t="n">
        <f aca="false">Metrics_Period!F6</f>
        <v>6</v>
      </c>
      <c r="G17" s="14" t="n">
        <f aca="false">Metrics_Period!G6</f>
        <v>13</v>
      </c>
      <c r="H17" s="15" t="n">
        <f aca="false">Metrics_Period!H6</f>
        <v>-0.538461538461538</v>
      </c>
      <c r="I17" s="14" t="n">
        <f aca="false">Metrics_Period!I6</f>
        <v>9</v>
      </c>
      <c r="J17" s="15" t="n">
        <f aca="false">Metrics_Period!J6</f>
        <v>-0.333333333333333</v>
      </c>
    </row>
    <row r="18" customFormat="false" ht="15" hidden="false" customHeight="false" outlineLevel="0" collapsed="false">
      <c r="B18" s="13" t="s">
        <v>27</v>
      </c>
      <c r="C18" s="14" t="n">
        <f aca="false">Metrics_Period!C7</f>
        <v>0</v>
      </c>
      <c r="D18" s="14" t="n">
        <f aca="false">Metrics_Period!D7</f>
        <v>0</v>
      </c>
      <c r="E18" s="15" t="n">
        <f aca="false">Metrics_Period!E7</f>
        <v>0</v>
      </c>
      <c r="F18" s="14" t="n">
        <f aca="false">Metrics_Period!F7</f>
        <v>1</v>
      </c>
      <c r="G18" s="14" t="n">
        <f aca="false">Metrics_Period!G7</f>
        <v>0</v>
      </c>
      <c r="H18" s="15" t="n">
        <f aca="false">Metrics_Period!H7</f>
        <v>0</v>
      </c>
      <c r="I18" s="14" t="n">
        <f aca="false">Metrics_Period!I7</f>
        <v>9</v>
      </c>
      <c r="J18" s="15" t="n">
        <f aca="false">Metrics_Period!J7</f>
        <v>-0.888888888888889</v>
      </c>
    </row>
    <row r="19" customFormat="false" ht="15" hidden="false" customHeight="false" outlineLevel="0" collapsed="false">
      <c r="B19" s="13" t="s">
        <v>28</v>
      </c>
      <c r="C19" s="14" t="n">
        <f aca="false">Metrics_Period!C8</f>
        <v>8</v>
      </c>
      <c r="D19" s="14" t="n">
        <f aca="false">Metrics_Period!D8</f>
        <v>4</v>
      </c>
      <c r="E19" s="15" t="n">
        <f aca="false">Metrics_Period!E8</f>
        <v>1</v>
      </c>
      <c r="F19" s="14" t="n">
        <f aca="false">Metrics_Period!F8</f>
        <v>25</v>
      </c>
      <c r="G19" s="14" t="n">
        <f aca="false">Metrics_Period!G8</f>
        <v>19</v>
      </c>
      <c r="H19" s="15" t="n">
        <f aca="false">Metrics_Period!H8</f>
        <v>0.315789473684211</v>
      </c>
      <c r="I19" s="14" t="n">
        <f aca="false">Metrics_Period!I8</f>
        <v>9</v>
      </c>
      <c r="J19" s="15" t="n">
        <f aca="false">Metrics_Period!J8</f>
        <v>1.77777777777778</v>
      </c>
    </row>
    <row r="20" customFormat="false" ht="15" hidden="false" customHeight="false" outlineLevel="0" collapsed="false">
      <c r="B20" s="13" t="s">
        <v>29</v>
      </c>
      <c r="C20" s="14" t="n">
        <f aca="false">Metrics_Period!C9</f>
        <v>0</v>
      </c>
      <c r="D20" s="14" t="n">
        <f aca="false">Metrics_Period!D9</f>
        <v>2</v>
      </c>
      <c r="E20" s="15" t="n">
        <f aca="false">Metrics_Period!E9</f>
        <v>-1</v>
      </c>
      <c r="F20" s="14" t="n">
        <f aca="false">Metrics_Period!F9</f>
        <v>3</v>
      </c>
      <c r="G20" s="14" t="n">
        <f aca="false">Metrics_Period!G9</f>
        <v>2</v>
      </c>
      <c r="H20" s="15" t="n">
        <f aca="false">Metrics_Period!H9</f>
        <v>0.5</v>
      </c>
      <c r="I20" s="14" t="n">
        <f aca="false">Metrics_Period!I9</f>
        <v>4</v>
      </c>
      <c r="J20" s="15" t="n">
        <f aca="false">Metrics_Period!J9</f>
        <v>-0.25</v>
      </c>
    </row>
    <row r="22" customFormat="false" ht="15" hidden="false" customHeight="false" outlineLevel="0" collapsed="false">
      <c r="B22" s="6" t="s">
        <v>30</v>
      </c>
    </row>
    <row r="23" customFormat="false" ht="25.5" hidden="false" customHeight="true" outlineLevel="0" collapsed="false">
      <c r="B23" s="12" t="s">
        <v>31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32</v>
      </c>
      <c r="J23" s="12" t="s">
        <v>33</v>
      </c>
    </row>
    <row r="24" customFormat="false" ht="46.25" hidden="false" customHeight="false" outlineLevel="0" collapsed="false">
      <c r="B24" s="13" t="s">
        <v>34</v>
      </c>
      <c r="C24" s="16" t="n">
        <f aca="false">Metrics_Period!C13</f>
        <v>13700</v>
      </c>
      <c r="D24" s="16" t="n">
        <f aca="false">Metrics_Period!D13</f>
        <v>0</v>
      </c>
      <c r="E24" s="15" t="n">
        <f aca="false">Metrics_Period!E13</f>
        <v>0</v>
      </c>
      <c r="F24" s="16" t="n">
        <f aca="false">Metrics_Period!F13</f>
        <v>13700</v>
      </c>
      <c r="G24" s="16" t="n">
        <f aca="false">Metrics_Period!G13</f>
        <v>13700</v>
      </c>
      <c r="H24" s="15" t="n">
        <f aca="false">Metrics_Period!H13</f>
        <v>0</v>
      </c>
      <c r="I24" s="16" t="n">
        <f aca="false">Metrics_Period!K13</f>
        <v>41100</v>
      </c>
      <c r="J24" s="16" t="n">
        <f aca="false">Metrics_Period!L13</f>
        <v>68500</v>
      </c>
    </row>
    <row r="25" customFormat="false" ht="15" hidden="false" customHeight="false" outlineLevel="0" collapsed="false">
      <c r="B25" s="13" t="s">
        <v>35</v>
      </c>
      <c r="C25" s="16" t="n">
        <f aca="false">Metrics_Period!C14</f>
        <v>0</v>
      </c>
      <c r="D25" s="16" t="n">
        <f aca="false">Metrics_Period!D14</f>
        <v>0</v>
      </c>
      <c r="E25" s="15" t="n">
        <f aca="false">Metrics_Period!E14</f>
        <v>0</v>
      </c>
      <c r="F25" s="16" t="n">
        <f aca="false">Metrics_Period!F14</f>
        <v>0</v>
      </c>
      <c r="G25" s="16" t="n">
        <f aca="false">Metrics_Period!G14</f>
        <v>0</v>
      </c>
      <c r="H25" s="15" t="n">
        <f aca="false">Metrics_Period!H14</f>
        <v>0</v>
      </c>
      <c r="I25" s="16" t="n">
        <f aca="false">Metrics_Period!K14</f>
        <v>0</v>
      </c>
      <c r="J25" s="16" t="n">
        <f aca="false">Metrics_Period!L14</f>
        <v>0</v>
      </c>
    </row>
    <row r="26" customFormat="false" ht="46.25" hidden="false" customHeight="false" outlineLevel="0" collapsed="false">
      <c r="B26" s="13" t="s">
        <v>36</v>
      </c>
      <c r="C26" s="16" t="n">
        <f aca="false">Metrics_Period!C15</f>
        <v>13700</v>
      </c>
      <c r="D26" s="16" t="n">
        <f aca="false">Metrics_Period!D15</f>
        <v>0</v>
      </c>
      <c r="E26" s="15" t="n">
        <f aca="false">Metrics_Period!E15</f>
        <v>0</v>
      </c>
      <c r="F26" s="16" t="n">
        <f aca="false">Metrics_Period!F15</f>
        <v>13700</v>
      </c>
      <c r="G26" s="16" t="n">
        <f aca="false">Metrics_Period!G15</f>
        <v>13700</v>
      </c>
      <c r="H26" s="15" t="n">
        <f aca="false">Metrics_Period!H15</f>
        <v>0</v>
      </c>
      <c r="I26" s="16" t="n">
        <f aca="false">Metrics_Period!K15</f>
        <v>41100</v>
      </c>
      <c r="J26" s="16" t="n">
        <f aca="false">Metrics_Period!L15</f>
        <v>68500</v>
      </c>
    </row>
    <row r="27" customFormat="false" ht="46.25" hidden="false" customHeight="false" outlineLevel="0" collapsed="false">
      <c r="B27" s="13" t="s">
        <v>37</v>
      </c>
      <c r="C27" s="16" t="n">
        <f aca="false">Targets!C6/365*7</f>
        <v>4070.93150684932</v>
      </c>
      <c r="D27" s="16" t="n">
        <f aca="false">Targets!C6/365*7</f>
        <v>4070.93150684932</v>
      </c>
      <c r="E27" s="15" t="n">
        <f aca="false">0</f>
        <v>0</v>
      </c>
      <c r="F27" s="16" t="n">
        <f aca="false">Targets!C6/365*30</f>
        <v>17446.8493150685</v>
      </c>
      <c r="G27" s="16" t="n">
        <f aca="false">Targets!C6/365*30</f>
        <v>17446.8493150685</v>
      </c>
      <c r="H27" s="15" t="n">
        <f aca="false">0</f>
        <v>0</v>
      </c>
      <c r="I27" s="16" t="n">
        <f aca="false">Targets!C6/365*91</f>
        <v>52922.1095890411</v>
      </c>
      <c r="J27" s="16" t="n">
        <f aca="false">Targets!C6/365*(As_Of_Date-DATE(YEAR(As_Of_Date),1,1)+1)</f>
        <v>88397.3698630137</v>
      </c>
    </row>
    <row r="28" customFormat="false" ht="57.45" hidden="false" customHeight="false" outlineLevel="0" collapsed="false">
      <c r="B28" s="17" t="s">
        <v>38</v>
      </c>
      <c r="C28" s="18" t="n">
        <f aca="false">C24-C27</f>
        <v>9629.06849315068</v>
      </c>
      <c r="D28" s="18" t="n">
        <f aca="false">D24-D27</f>
        <v>-4070.93150684932</v>
      </c>
      <c r="E28" s="19" t="n">
        <f aca="false">IFERROR((C28-D28)/IF(D28=0,1,ABS(D28)),0)</f>
        <v>3.36532313966714</v>
      </c>
      <c r="F28" s="18" t="n">
        <f aca="false">F24-F27</f>
        <v>-3746.8493150685</v>
      </c>
      <c r="G28" s="18" t="n">
        <f aca="false">G24-G27</f>
        <v>-3746.8493150685</v>
      </c>
      <c r="H28" s="19" t="n">
        <f aca="false">IFERROR((F28-G28)/IF(G28=0,1,ABS(G28)),0)</f>
        <v>0</v>
      </c>
      <c r="I28" s="18" t="n">
        <f aca="false">I24-I27</f>
        <v>-11822.1095890411</v>
      </c>
      <c r="J28" s="18" t="n">
        <f aca="false">J24-J27</f>
        <v>-19897.3698630137</v>
      </c>
    </row>
    <row r="30" customFormat="false" ht="36" hidden="false" customHeight="true" outlineLevel="0" collapsed="false">
      <c r="B30" s="20" t="s">
        <v>39</v>
      </c>
      <c r="C30" s="20"/>
      <c r="D30" s="20"/>
      <c r="E30" s="20"/>
      <c r="F30" s="20"/>
      <c r="G30" s="20"/>
      <c r="H30" s="20"/>
    </row>
    <row r="32" customFormat="false" ht="15" hidden="false" customHeight="false" outlineLevel="0" collapsed="false">
      <c r="B32" s="6" t="s">
        <v>40</v>
      </c>
    </row>
    <row r="33" customFormat="false" ht="15" hidden="false" customHeight="true" outlineLevel="0" collapsed="false">
      <c r="B33" s="21" t="s">
        <v>41</v>
      </c>
      <c r="C33" s="21"/>
      <c r="D33" s="21"/>
      <c r="E33" s="21"/>
      <c r="F33" s="21"/>
      <c r="G33" s="21"/>
      <c r="H33" s="21"/>
    </row>
    <row r="34" customFormat="false" ht="15" hidden="false" customHeight="true" outlineLevel="0" collapsed="false">
      <c r="B34" s="21" t="s">
        <v>42</v>
      </c>
      <c r="C34" s="21"/>
      <c r="D34" s="21"/>
      <c r="E34" s="21"/>
      <c r="F34" s="21"/>
      <c r="G34" s="21"/>
      <c r="H34" s="21"/>
    </row>
    <row r="35" customFormat="false" ht="15" hidden="false" customHeight="true" outlineLevel="0" collapsed="false">
      <c r="B35" s="21" t="s">
        <v>43</v>
      </c>
      <c r="C35" s="21"/>
      <c r="D35" s="21"/>
      <c r="E35" s="21"/>
      <c r="F35" s="21"/>
      <c r="G35" s="21"/>
      <c r="H35" s="21"/>
    </row>
    <row r="36" customFormat="false" ht="15" hidden="false" customHeight="true" outlineLevel="0" collapsed="false">
      <c r="B36" s="21" t="s">
        <v>44</v>
      </c>
      <c r="C36" s="21"/>
      <c r="D36" s="21"/>
      <c r="E36" s="21"/>
      <c r="F36" s="21"/>
      <c r="G36" s="21"/>
      <c r="H36" s="21"/>
    </row>
    <row r="37" customFormat="false" ht="15" hidden="false" customHeight="true" outlineLevel="0" collapsed="false">
      <c r="B37" s="21" t="s">
        <v>45</v>
      </c>
      <c r="C37" s="21"/>
      <c r="D37" s="21"/>
      <c r="E37" s="21"/>
      <c r="F37" s="21"/>
      <c r="G37" s="21"/>
      <c r="H37" s="21"/>
    </row>
  </sheetData>
  <mergeCells count="8">
    <mergeCell ref="A1:I1"/>
    <mergeCell ref="A2:I2"/>
    <mergeCell ref="B30:H30"/>
    <mergeCell ref="B33:H33"/>
    <mergeCell ref="B34:H34"/>
    <mergeCell ref="B35:H35"/>
    <mergeCell ref="B36:H36"/>
    <mergeCell ref="B37:H37"/>
  </mergeCells>
  <conditionalFormatting sqref="E16:E2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16:H20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J16:J20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B801"/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6" t="s">
        <v>48</v>
      </c>
    </row>
    <row r="5" customFormat="false" ht="15" hidden="false" customHeight="true" outlineLevel="0" collapsed="false">
      <c r="B5" s="22" t="s">
        <v>5</v>
      </c>
      <c r="C5" s="23" t="n">
        <v>500000</v>
      </c>
      <c r="D5" s="24" t="s">
        <v>49</v>
      </c>
      <c r="E5" s="24"/>
      <c r="F5" s="24"/>
      <c r="G5" s="24"/>
      <c r="H5" s="24"/>
    </row>
    <row r="6" customFormat="false" ht="15" hidden="false" customHeight="true" outlineLevel="0" collapsed="false">
      <c r="B6" s="22" t="s">
        <v>50</v>
      </c>
      <c r="C6" s="25" t="n">
        <v>212270</v>
      </c>
      <c r="D6" s="24" t="s">
        <v>51</v>
      </c>
      <c r="E6" s="24"/>
      <c r="F6" s="24"/>
      <c r="G6" s="24"/>
      <c r="H6" s="24"/>
    </row>
    <row r="7" customFormat="false" ht="15" hidden="false" customHeight="true" outlineLevel="0" collapsed="false">
      <c r="B7" s="22" t="s">
        <v>52</v>
      </c>
      <c r="C7" s="26" t="n">
        <f aca="false">C5-C6</f>
        <v>287730</v>
      </c>
      <c r="D7" s="24" t="s">
        <v>53</v>
      </c>
      <c r="E7" s="24"/>
      <c r="F7" s="24"/>
      <c r="G7" s="24"/>
      <c r="H7" s="24"/>
    </row>
    <row r="8" customFormat="false" ht="15" hidden="false" customHeight="false" outlineLevel="0" collapsed="false">
      <c r="B8" s="27"/>
      <c r="C8" s="28"/>
      <c r="D8" s="24"/>
      <c r="E8" s="24"/>
      <c r="F8" s="24"/>
      <c r="G8" s="24"/>
      <c r="H8" s="24"/>
    </row>
    <row r="9" customFormat="false" ht="15" hidden="false" customHeight="true" outlineLevel="0" collapsed="false">
      <c r="B9" s="22" t="s">
        <v>54</v>
      </c>
      <c r="C9" s="25" t="n">
        <v>134400</v>
      </c>
      <c r="D9" s="24" t="s">
        <v>55</v>
      </c>
      <c r="E9" s="24"/>
      <c r="F9" s="24"/>
      <c r="G9" s="24"/>
      <c r="H9" s="24"/>
    </row>
    <row r="10" customFormat="false" ht="15" hidden="false" customHeight="true" outlineLevel="0" collapsed="false">
      <c r="B10" s="22" t="s">
        <v>56</v>
      </c>
      <c r="C10" s="25" t="n">
        <v>30000</v>
      </c>
      <c r="D10" s="24" t="s">
        <v>55</v>
      </c>
      <c r="E10" s="24"/>
      <c r="F10" s="24"/>
      <c r="G10" s="24"/>
      <c r="H10" s="24"/>
    </row>
    <row r="11" customFormat="false" ht="15" hidden="false" customHeight="true" outlineLevel="0" collapsed="false">
      <c r="B11" s="22" t="s">
        <v>57</v>
      </c>
      <c r="C11" s="26" t="n">
        <f aca="false">C9+C10</f>
        <v>164400</v>
      </c>
      <c r="D11" s="24" t="s">
        <v>58</v>
      </c>
      <c r="E11" s="24"/>
      <c r="F11" s="24"/>
      <c r="G11" s="24"/>
      <c r="H11" s="24"/>
    </row>
    <row r="12" customFormat="false" ht="15" hidden="false" customHeight="true" outlineLevel="0" collapsed="false">
      <c r="B12" s="22" t="s">
        <v>59</v>
      </c>
      <c r="C12" s="29" t="n">
        <f aca="false">C11-C6</f>
        <v>-47870</v>
      </c>
      <c r="D12" s="24" t="s">
        <v>60</v>
      </c>
      <c r="E12" s="24"/>
      <c r="F12" s="24"/>
      <c r="G12" s="24"/>
      <c r="H12" s="24"/>
    </row>
    <row r="13" customFormat="false" ht="15" hidden="false" customHeight="true" outlineLevel="0" collapsed="false">
      <c r="B13" s="22" t="s">
        <v>8</v>
      </c>
      <c r="C13" s="30" t="n">
        <f aca="false">MAX(C6-C11,0)</f>
        <v>47870</v>
      </c>
      <c r="D13" s="24" t="s">
        <v>61</v>
      </c>
      <c r="E13" s="24"/>
      <c r="F13" s="24"/>
      <c r="G13" s="24"/>
      <c r="H13" s="24"/>
    </row>
    <row r="14" customFormat="false" ht="15" hidden="false" customHeight="true" outlineLevel="0" collapsed="false">
      <c r="B14" s="22" t="s">
        <v>62</v>
      </c>
      <c r="C14" s="29" t="n">
        <f aca="false">C5-C11</f>
        <v>335600</v>
      </c>
      <c r="D14" s="24" t="s">
        <v>63</v>
      </c>
      <c r="E14" s="24"/>
      <c r="F14" s="24"/>
      <c r="G14" s="24"/>
      <c r="H14" s="24"/>
    </row>
    <row r="17" customFormat="false" ht="15" hidden="false" customHeight="false" outlineLevel="0" collapsed="false">
      <c r="B17" s="6" t="s">
        <v>64</v>
      </c>
    </row>
    <row r="18" customFormat="false" ht="27.75" hidden="false" customHeight="true" outlineLevel="0" collapsed="false">
      <c r="B18" s="12" t="s">
        <v>65</v>
      </c>
      <c r="C18" s="12" t="s">
        <v>66</v>
      </c>
      <c r="D18" s="12" t="s">
        <v>67</v>
      </c>
      <c r="E18" s="12" t="s">
        <v>68</v>
      </c>
      <c r="F18" s="12" t="s">
        <v>69</v>
      </c>
    </row>
    <row r="19" customFormat="false" ht="15" hidden="false" customHeight="false" outlineLevel="0" collapsed="false">
      <c r="B19" s="13" t="s">
        <v>70</v>
      </c>
      <c r="C19" s="26" t="n">
        <f aca="false">$C$5/12</f>
        <v>41666.6666666667</v>
      </c>
      <c r="D19" s="26" t="n">
        <f aca="false">$C$6/12</f>
        <v>17689.1666666667</v>
      </c>
      <c r="E19" s="26" t="n">
        <f aca="false">C19-D19</f>
        <v>23977.5</v>
      </c>
      <c r="F19" s="26" t="n">
        <f aca="false">C19</f>
        <v>41666.6666666667</v>
      </c>
    </row>
    <row r="20" customFormat="false" ht="15" hidden="false" customHeight="false" outlineLevel="0" collapsed="false">
      <c r="B20" s="13" t="s">
        <v>71</v>
      </c>
      <c r="C20" s="26" t="n">
        <f aca="false">$C$5/12</f>
        <v>41666.6666666667</v>
      </c>
      <c r="D20" s="26" t="n">
        <f aca="false">$C$6/12</f>
        <v>17689.1666666667</v>
      </c>
      <c r="E20" s="26" t="n">
        <f aca="false">C20-D20</f>
        <v>23977.5</v>
      </c>
      <c r="F20" s="26" t="n">
        <f aca="false">F19+C20</f>
        <v>83333.3333333333</v>
      </c>
    </row>
    <row r="21" customFormat="false" ht="15" hidden="false" customHeight="false" outlineLevel="0" collapsed="false">
      <c r="B21" s="13" t="s">
        <v>72</v>
      </c>
      <c r="C21" s="26" t="n">
        <f aca="false">$C$5/12</f>
        <v>41666.6666666667</v>
      </c>
      <c r="D21" s="26" t="n">
        <f aca="false">$C$6/12</f>
        <v>17689.1666666667</v>
      </c>
      <c r="E21" s="26" t="n">
        <f aca="false">C21-D21</f>
        <v>23977.5</v>
      </c>
      <c r="F21" s="26" t="n">
        <f aca="false">F20+C21</f>
        <v>125000</v>
      </c>
    </row>
    <row r="22" customFormat="false" ht="15" hidden="false" customHeight="false" outlineLevel="0" collapsed="false">
      <c r="B22" s="13" t="s">
        <v>73</v>
      </c>
      <c r="C22" s="26" t="n">
        <f aca="false">$C$5/12</f>
        <v>41666.6666666667</v>
      </c>
      <c r="D22" s="26" t="n">
        <f aca="false">$C$6/12</f>
        <v>17689.1666666667</v>
      </c>
      <c r="E22" s="26" t="n">
        <f aca="false">C22-D22</f>
        <v>23977.5</v>
      </c>
      <c r="F22" s="26" t="n">
        <f aca="false">F21+C22</f>
        <v>166666.666666667</v>
      </c>
    </row>
    <row r="23" customFormat="false" ht="15" hidden="false" customHeight="false" outlineLevel="0" collapsed="false">
      <c r="B23" s="13" t="s">
        <v>74</v>
      </c>
      <c r="C23" s="26" t="n">
        <f aca="false">$C$5/12</f>
        <v>41666.6666666667</v>
      </c>
      <c r="D23" s="26" t="n">
        <f aca="false">$C$6/12</f>
        <v>17689.1666666667</v>
      </c>
      <c r="E23" s="26" t="n">
        <f aca="false">C23-D23</f>
        <v>23977.5</v>
      </c>
      <c r="F23" s="26" t="n">
        <f aca="false">F22+C23</f>
        <v>208333.333333333</v>
      </c>
    </row>
    <row r="24" customFormat="false" ht="15" hidden="false" customHeight="false" outlineLevel="0" collapsed="false">
      <c r="B24" s="13" t="s">
        <v>75</v>
      </c>
      <c r="C24" s="26" t="n">
        <f aca="false">$C$5/12</f>
        <v>41666.6666666667</v>
      </c>
      <c r="D24" s="26" t="n">
        <f aca="false">$C$6/12</f>
        <v>17689.1666666667</v>
      </c>
      <c r="E24" s="26" t="n">
        <f aca="false">C24-D24</f>
        <v>23977.5</v>
      </c>
      <c r="F24" s="26" t="n">
        <f aca="false">F23+C24</f>
        <v>250000</v>
      </c>
    </row>
    <row r="25" customFormat="false" ht="15" hidden="false" customHeight="false" outlineLevel="0" collapsed="false">
      <c r="B25" s="13" t="s">
        <v>76</v>
      </c>
      <c r="C25" s="26" t="n">
        <f aca="false">$C$5/12</f>
        <v>41666.6666666667</v>
      </c>
      <c r="D25" s="26" t="n">
        <f aca="false">$C$6/12</f>
        <v>17689.1666666667</v>
      </c>
      <c r="E25" s="26" t="n">
        <f aca="false">C25-D25</f>
        <v>23977.5</v>
      </c>
      <c r="F25" s="26" t="n">
        <f aca="false">F24+C25</f>
        <v>291666.666666667</v>
      </c>
    </row>
    <row r="26" customFormat="false" ht="15" hidden="false" customHeight="false" outlineLevel="0" collapsed="false">
      <c r="B26" s="13" t="s">
        <v>77</v>
      </c>
      <c r="C26" s="26" t="n">
        <f aca="false">$C$5/12</f>
        <v>41666.6666666667</v>
      </c>
      <c r="D26" s="26" t="n">
        <f aca="false">$C$6/12</f>
        <v>17689.1666666667</v>
      </c>
      <c r="E26" s="26" t="n">
        <f aca="false">C26-D26</f>
        <v>23977.5</v>
      </c>
      <c r="F26" s="26" t="n">
        <f aca="false">F25+C26</f>
        <v>333333.333333333</v>
      </c>
    </row>
    <row r="27" customFormat="false" ht="15" hidden="false" customHeight="false" outlineLevel="0" collapsed="false">
      <c r="B27" s="13" t="s">
        <v>78</v>
      </c>
      <c r="C27" s="26" t="n">
        <f aca="false">$C$5/12</f>
        <v>41666.6666666667</v>
      </c>
      <c r="D27" s="26" t="n">
        <f aca="false">$C$6/12</f>
        <v>17689.1666666667</v>
      </c>
      <c r="E27" s="26" t="n">
        <f aca="false">C27-D27</f>
        <v>23977.5</v>
      </c>
      <c r="F27" s="26" t="n">
        <f aca="false">F26+C27</f>
        <v>375000</v>
      </c>
    </row>
    <row r="28" customFormat="false" ht="15" hidden="false" customHeight="false" outlineLevel="0" collapsed="false">
      <c r="B28" s="13" t="s">
        <v>79</v>
      </c>
      <c r="C28" s="26" t="n">
        <f aca="false">$C$5/12</f>
        <v>41666.6666666667</v>
      </c>
      <c r="D28" s="26" t="n">
        <f aca="false">$C$6/12</f>
        <v>17689.1666666667</v>
      </c>
      <c r="E28" s="26" t="n">
        <f aca="false">C28-D28</f>
        <v>23977.5</v>
      </c>
      <c r="F28" s="26" t="n">
        <f aca="false">F27+C28</f>
        <v>416666.666666667</v>
      </c>
    </row>
    <row r="29" customFormat="false" ht="15" hidden="false" customHeight="false" outlineLevel="0" collapsed="false">
      <c r="B29" s="13" t="s">
        <v>80</v>
      </c>
      <c r="C29" s="26" t="n">
        <f aca="false">$C$5/12</f>
        <v>41666.6666666667</v>
      </c>
      <c r="D29" s="26" t="n">
        <f aca="false">$C$6/12</f>
        <v>17689.1666666667</v>
      </c>
      <c r="E29" s="26" t="n">
        <f aca="false">C29-D29</f>
        <v>23977.5</v>
      </c>
      <c r="F29" s="26" t="n">
        <f aca="false">F28+C29</f>
        <v>458333.333333333</v>
      </c>
    </row>
    <row r="30" customFormat="false" ht="15" hidden="false" customHeight="false" outlineLevel="0" collapsed="false">
      <c r="B30" s="13" t="s">
        <v>81</v>
      </c>
      <c r="C30" s="26" t="n">
        <f aca="false">$C$5/12</f>
        <v>41666.6666666667</v>
      </c>
      <c r="D30" s="26" t="n">
        <f aca="false">$C$6/12</f>
        <v>17689.1666666667</v>
      </c>
      <c r="E30" s="26" t="n">
        <f aca="false">C30-D30</f>
        <v>23977.5</v>
      </c>
      <c r="F30" s="26" t="n">
        <f aca="false">F29+C30</f>
        <v>500000</v>
      </c>
    </row>
    <row r="32" customFormat="false" ht="15" hidden="false" customHeight="false" outlineLevel="0" collapsed="false">
      <c r="B32" s="6" t="s">
        <v>82</v>
      </c>
    </row>
    <row r="33" customFormat="false" ht="27.75" hidden="false" customHeight="true" outlineLevel="0" collapsed="false">
      <c r="B33" s="12" t="s">
        <v>16</v>
      </c>
      <c r="C33" s="12" t="s">
        <v>83</v>
      </c>
      <c r="D33" s="12" t="s">
        <v>84</v>
      </c>
      <c r="E33" s="12" t="s">
        <v>85</v>
      </c>
      <c r="F33" s="12" t="s">
        <v>86</v>
      </c>
      <c r="G33" s="12" t="s">
        <v>87</v>
      </c>
    </row>
    <row r="34" customFormat="false" ht="15" hidden="false" customHeight="false" outlineLevel="0" collapsed="false">
      <c r="B34" s="13" t="s">
        <v>25</v>
      </c>
      <c r="C34" s="31" t="n">
        <v>6</v>
      </c>
      <c r="D34" s="32" t="n">
        <f aca="false">ROUND(C34*4.33,0)</f>
        <v>26</v>
      </c>
      <c r="E34" s="32" t="n">
        <f aca="false">C34*13</f>
        <v>78</v>
      </c>
      <c r="F34" s="32" t="n">
        <f aca="false">C34*52</f>
        <v>312</v>
      </c>
      <c r="G34" s="33" t="s">
        <v>88</v>
      </c>
    </row>
    <row r="35" customFormat="false" ht="15" hidden="false" customHeight="false" outlineLevel="0" collapsed="false">
      <c r="B35" s="13" t="s">
        <v>89</v>
      </c>
      <c r="C35" s="31" t="n">
        <v>2</v>
      </c>
      <c r="D35" s="32" t="n">
        <f aca="false">ROUND(C35*4.33,0)</f>
        <v>9</v>
      </c>
      <c r="E35" s="32" t="n">
        <f aca="false">C35*13</f>
        <v>26</v>
      </c>
      <c r="F35" s="32" t="n">
        <f aca="false">C35*52</f>
        <v>104</v>
      </c>
      <c r="G35" s="33" t="s">
        <v>90</v>
      </c>
    </row>
    <row r="36" customFormat="false" ht="15" hidden="false" customHeight="false" outlineLevel="0" collapsed="false">
      <c r="B36" s="13" t="s">
        <v>91</v>
      </c>
      <c r="C36" s="31" t="n">
        <v>2</v>
      </c>
      <c r="D36" s="32" t="n">
        <f aca="false">ROUND(C36*4.33,0)</f>
        <v>9</v>
      </c>
      <c r="E36" s="32" t="n">
        <f aca="false">C36*13</f>
        <v>26</v>
      </c>
      <c r="F36" s="32" t="n">
        <f aca="false">C36*52</f>
        <v>104</v>
      </c>
      <c r="G36" s="33" t="s">
        <v>92</v>
      </c>
    </row>
    <row r="37" customFormat="false" ht="15" hidden="false" customHeight="false" outlineLevel="0" collapsed="false">
      <c r="B37" s="13" t="s">
        <v>28</v>
      </c>
      <c r="C37" s="31" t="n">
        <v>2</v>
      </c>
      <c r="D37" s="32" t="n">
        <f aca="false">ROUND(C37*4.33,0)</f>
        <v>9</v>
      </c>
      <c r="E37" s="32" t="n">
        <f aca="false">C37*13</f>
        <v>26</v>
      </c>
      <c r="F37" s="32" t="n">
        <f aca="false">C37*52</f>
        <v>104</v>
      </c>
      <c r="G37" s="33" t="s">
        <v>93</v>
      </c>
    </row>
    <row r="38" customFormat="false" ht="15" hidden="false" customHeight="false" outlineLevel="0" collapsed="false">
      <c r="B38" s="13" t="s">
        <v>29</v>
      </c>
      <c r="C38" s="31" t="n">
        <v>1</v>
      </c>
      <c r="D38" s="32" t="n">
        <f aca="false">ROUND(C38*4.33,0)</f>
        <v>4</v>
      </c>
      <c r="E38" s="32" t="n">
        <f aca="false">C38*13</f>
        <v>13</v>
      </c>
      <c r="F38" s="32" t="n">
        <f aca="false">C38*52</f>
        <v>52</v>
      </c>
      <c r="G38" s="33" t="s">
        <v>94</v>
      </c>
    </row>
    <row r="41" customFormat="false" ht="15" hidden="false" customHeight="false" outlineLevel="0" collapsed="false">
      <c r="B41" s="6" t="s">
        <v>95</v>
      </c>
    </row>
    <row r="42" customFormat="false" ht="15" hidden="false" customHeight="false" outlineLevel="0" collapsed="false">
      <c r="B42" s="22" t="s">
        <v>96</v>
      </c>
      <c r="C42" s="34" t="n">
        <v>20</v>
      </c>
      <c r="D42" s="35" t="s">
        <v>97</v>
      </c>
      <c r="E42" s="35"/>
      <c r="F42" s="35"/>
      <c r="G42" s="35"/>
      <c r="H42" s="35"/>
    </row>
  </sheetData>
  <mergeCells count="13">
    <mergeCell ref="A1:H1"/>
    <mergeCell ref="A2:H2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A891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4" min="10" style="0" width="14"/>
  </cols>
  <sheetData>
    <row r="1" customFormat="false" ht="27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36" t="s">
        <v>99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4" customFormat="false" ht="36" hidden="false" customHeight="true" outlineLevel="0" collapsed="false">
      <c r="A4" s="12" t="s">
        <v>100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32</v>
      </c>
      <c r="L4" s="12" t="s">
        <v>101</v>
      </c>
      <c r="M4" s="12" t="s">
        <v>102</v>
      </c>
      <c r="N4" s="12" t="s">
        <v>103</v>
      </c>
    </row>
    <row r="5" customFormat="false" ht="15" hidden="false" customHeight="false" outlineLevel="0" collapsed="false">
      <c r="A5" s="37" t="n">
        <v>1</v>
      </c>
      <c r="B5" s="13" t="s">
        <v>25</v>
      </c>
      <c r="C5" s="38" t="n">
        <f aca="false">COUNTIFS(Screenings!E:E,"&gt;="&amp;As_Of_Date-7,Screenings!E:E,"&lt;="&amp;As_Of_Date-0)</f>
        <v>7</v>
      </c>
      <c r="D5" s="38" t="n">
        <f aca="false">COUNTIFS(Screenings!E:E,"&gt;="&amp;As_Of_Date-14,Screenings!E:E,"&lt;"&amp;As_Of_Date-7)</f>
        <v>1</v>
      </c>
      <c r="E5" s="39" t="n">
        <f aca="false">IFERROR((C5-D5)/D5,0)</f>
        <v>6</v>
      </c>
      <c r="F5" s="38" t="n">
        <f aca="false">COUNTIFS(Screenings!E:E,"&gt;="&amp;As_Of_Date-30,Screenings!E:E,"&lt;="&amp;As_Of_Date-0)</f>
        <v>14</v>
      </c>
      <c r="G5" s="38" t="n">
        <f aca="false">COUNTIFS(Screenings!E:E,"&gt;="&amp;As_Of_Date-60,Screenings!E:E,"&lt;"&amp;As_Of_Date-30)</f>
        <v>36</v>
      </c>
      <c r="H5" s="39" t="n">
        <f aca="false">IFERROR((F5-G5)/G5,0)</f>
        <v>-0.611111111111111</v>
      </c>
      <c r="I5" s="38" t="n">
        <f aca="false">Targets!D34</f>
        <v>26</v>
      </c>
      <c r="J5" s="39" t="n">
        <f aca="false">IFERROR((F5-I5)/I5,0)</f>
        <v>-0.461538461538462</v>
      </c>
      <c r="K5" s="38" t="n">
        <f aca="false">COUNTIFS(Screenings!E:E,"&gt;="&amp;As_Of_Date-91,Screenings!E:E,"&lt;="&amp;As_Of_Date-0)</f>
        <v>54</v>
      </c>
      <c r="L5" s="38" t="n">
        <f aca="false">COUNTIFS(Screenings!E:E,"&gt;="&amp;As_Of_Date-182,Screenings!E:E,"&lt;"&amp;As_Of_Date-91)</f>
        <v>0</v>
      </c>
      <c r="M5" s="39" t="n">
        <f aca="false">IFERROR((K5-L5)/L5,0)</f>
        <v>0</v>
      </c>
      <c r="N5" s="39" t="n">
        <f aca="false">IFERROR((COUNTIFS(Screenings!E:E,"&gt;="&amp;As_Of_Date-365,Screenings!E:E,"&lt;="&amp;As_Of_Date-0)-COUNTIFS(Screenings!E:E,"&gt;="&amp;As_Of_Date-730,Screenings!E:E,"&lt;"&amp;As_Of_Date-365))/COUNTIFS(Screenings!E:E,"&gt;="&amp;As_Of_Date-730,Screenings!E:E,"&lt;"&amp;As_Of_Date-365),0)</f>
        <v>0</v>
      </c>
    </row>
    <row r="6" customFormat="false" ht="15" hidden="false" customHeight="false" outlineLevel="0" collapsed="false">
      <c r="A6" s="37" t="n">
        <v>2</v>
      </c>
      <c r="B6" s="13" t="s">
        <v>26</v>
      </c>
      <c r="C6" s="38" t="n">
        <f aca="false">COUNTIFS(NDAs!D:D,"&gt;="&amp;As_Of_Date-7,NDAs!D:D,"&lt;="&amp;As_Of_Date-0)</f>
        <v>0</v>
      </c>
      <c r="D6" s="38" t="n">
        <f aca="false">COUNTIFS(NDAs!D:D,"&gt;="&amp;As_Of_Date-14,NDAs!D:D,"&lt;"&amp;As_Of_Date-7)</f>
        <v>1</v>
      </c>
      <c r="E6" s="39" t="n">
        <f aca="false">IFERROR((C6-D6)/D6,0)</f>
        <v>-1</v>
      </c>
      <c r="F6" s="38" t="n">
        <f aca="false">COUNTIFS(NDAs!D:D,"&gt;="&amp;As_Of_Date-30,NDAs!D:D,"&lt;="&amp;As_Of_Date-0)</f>
        <v>6</v>
      </c>
      <c r="G6" s="38" t="n">
        <f aca="false">COUNTIFS(NDAs!D:D,"&gt;="&amp;As_Of_Date-60,NDAs!D:D,"&lt;"&amp;As_Of_Date-30)</f>
        <v>13</v>
      </c>
      <c r="H6" s="39" t="n">
        <f aca="false">IFERROR((F6-G6)/G6,0)</f>
        <v>-0.538461538461538</v>
      </c>
      <c r="I6" s="38" t="n">
        <f aca="false">Targets!D35</f>
        <v>9</v>
      </c>
      <c r="J6" s="39" t="n">
        <f aca="false">IFERROR((F6-I6)/I6,0)</f>
        <v>-0.333333333333333</v>
      </c>
      <c r="K6" s="38" t="n">
        <f aca="false">COUNTIFS(NDAs!D:D,"&gt;="&amp;As_Of_Date-91,NDAs!D:D,"&lt;="&amp;As_Of_Date-0)</f>
        <v>19</v>
      </c>
      <c r="L6" s="38" t="n">
        <f aca="false">COUNTIFS(NDAs!D:D,"&gt;="&amp;As_Of_Date-182,NDAs!D:D,"&lt;"&amp;As_Of_Date-91)</f>
        <v>0</v>
      </c>
      <c r="M6" s="39" t="n">
        <f aca="false">IFERROR((K6-L6)/L6,0)</f>
        <v>0</v>
      </c>
      <c r="N6" s="39" t="n">
        <f aca="false">IFERROR((COUNTIFS(NDAs!D:D,"&gt;="&amp;As_Of_Date-365,NDAs!D:D,"&lt;="&amp;As_Of_Date-0)-COUNTIFS(NDAs!D:D,"&gt;="&amp;As_Of_Date-730,NDAs!D:D,"&lt;"&amp;As_Of_Date-365))/COUNTIFS(NDAs!D:D,"&gt;="&amp;As_Of_Date-730,NDAs!D:D,"&lt;"&amp;As_Of_Date-365),0)</f>
        <v>0</v>
      </c>
    </row>
    <row r="7" customFormat="false" ht="15" hidden="false" customHeight="false" outlineLevel="0" collapsed="false">
      <c r="A7" s="37" t="n">
        <v>3</v>
      </c>
      <c r="B7" s="13" t="s">
        <v>27</v>
      </c>
      <c r="C7" s="38" t="n">
        <f aca="false">COUNTIFS(Agreements!D:D,"&gt;="&amp;As_Of_Date-7,Agreements!D:D,"&lt;="&amp;As_Of_Date-0)</f>
        <v>0</v>
      </c>
      <c r="D7" s="38" t="n">
        <f aca="false">COUNTIFS(Agreements!D:D,"&gt;="&amp;As_Of_Date-14,Agreements!D:D,"&lt;"&amp;As_Of_Date-7)</f>
        <v>0</v>
      </c>
      <c r="E7" s="39" t="n">
        <f aca="false">IFERROR((C7-D7)/D7,0)</f>
        <v>0</v>
      </c>
      <c r="F7" s="38" t="n">
        <f aca="false">COUNTIFS(Agreements!D:D,"&gt;="&amp;As_Of_Date-30,Agreements!D:D,"&lt;="&amp;As_Of_Date-0)</f>
        <v>1</v>
      </c>
      <c r="G7" s="38" t="n">
        <f aca="false">COUNTIFS(Agreements!D:D,"&gt;="&amp;As_Of_Date-60,Agreements!D:D,"&lt;"&amp;As_Of_Date-30)</f>
        <v>0</v>
      </c>
      <c r="H7" s="39" t="n">
        <f aca="false">IFERROR((F7-G7)/G7,0)</f>
        <v>0</v>
      </c>
      <c r="I7" s="38" t="n">
        <f aca="false">Targets!D36</f>
        <v>9</v>
      </c>
      <c r="J7" s="39" t="n">
        <f aca="false">IFERROR((F7-I7)/I7,0)</f>
        <v>-0.888888888888889</v>
      </c>
      <c r="K7" s="38" t="n">
        <f aca="false">COUNTIFS(Agreements!D:D,"&gt;="&amp;As_Of_Date-91,Agreements!D:D,"&lt;="&amp;As_Of_Date-0)</f>
        <v>1</v>
      </c>
      <c r="L7" s="38" t="n">
        <f aca="false">COUNTIFS(Agreements!D:D,"&gt;="&amp;As_Of_Date-182,Agreements!D:D,"&lt;"&amp;As_Of_Date-91)</f>
        <v>0</v>
      </c>
      <c r="M7" s="39" t="n">
        <f aca="false">IFERROR((K7-L7)/L7,0)</f>
        <v>0</v>
      </c>
      <c r="N7" s="39" t="n">
        <f aca="false">IFERROR((COUNTIFS(Agreements!D:D,"&gt;="&amp;As_Of_Date-365,Agreements!D:D,"&lt;="&amp;As_Of_Date-0)-COUNTIFS(Agreements!D:D,"&gt;="&amp;As_Of_Date-730,Agreements!D:D,"&lt;"&amp;As_Of_Date-365))/COUNTIFS(Agreements!D:D,"&gt;="&amp;As_Of_Date-730,Agreements!D:D,"&lt;"&amp;As_Of_Date-365),0)</f>
        <v>0</v>
      </c>
    </row>
    <row r="8" customFormat="false" ht="15" hidden="false" customHeight="false" outlineLevel="0" collapsed="false">
      <c r="A8" s="37" t="n">
        <v>4</v>
      </c>
      <c r="B8" s="13" t="s">
        <v>28</v>
      </c>
      <c r="C8" s="38" t="n">
        <f aca="false">COUNTIFS(Meetings!A:A,"&gt;="&amp;As_Of_Date-7,Meetings!A:A,"&lt;="&amp;As_Of_Date-0)</f>
        <v>8</v>
      </c>
      <c r="D8" s="38" t="n">
        <f aca="false">COUNTIFS(Meetings!A:A,"&gt;="&amp;As_Of_Date-14,Meetings!A:A,"&lt;"&amp;As_Of_Date-7)</f>
        <v>4</v>
      </c>
      <c r="E8" s="39" t="n">
        <f aca="false">IFERROR((C8-D8)/D8,0)</f>
        <v>1</v>
      </c>
      <c r="F8" s="38" t="n">
        <f aca="false">COUNTIFS(Meetings!A:A,"&gt;="&amp;As_Of_Date-30,Meetings!A:A,"&lt;="&amp;As_Of_Date-0)</f>
        <v>25</v>
      </c>
      <c r="G8" s="38" t="n">
        <f aca="false">COUNTIFS(Meetings!A:A,"&gt;="&amp;As_Of_Date-60,Meetings!A:A,"&lt;"&amp;As_Of_Date-30)</f>
        <v>19</v>
      </c>
      <c r="H8" s="39" t="n">
        <f aca="false">IFERROR((F8-G8)/G8,0)</f>
        <v>0.315789473684211</v>
      </c>
      <c r="I8" s="38" t="n">
        <f aca="false">Targets!D37</f>
        <v>9</v>
      </c>
      <c r="J8" s="39" t="n">
        <f aca="false">IFERROR((F8-I8)/I8,0)</f>
        <v>1.77777777777778</v>
      </c>
      <c r="K8" s="38" t="n">
        <f aca="false">COUNTIFS(Meetings!A:A,"&gt;="&amp;As_Of_Date-91,Meetings!A:A,"&lt;="&amp;As_Of_Date-0)</f>
        <v>49</v>
      </c>
      <c r="L8" s="38" t="n">
        <f aca="false">COUNTIFS(Meetings!A:A,"&gt;="&amp;As_Of_Date-182,Meetings!A:A,"&lt;"&amp;As_Of_Date-91)</f>
        <v>6</v>
      </c>
      <c r="M8" s="39" t="n">
        <f aca="false">IFERROR((K8-L8)/L8,0)</f>
        <v>7.16666666666667</v>
      </c>
      <c r="N8" s="39" t="n">
        <f aca="false">IFERROR((COUNTIFS(Meetings!A:A,"&gt;="&amp;As_Of_Date-365,Meetings!A:A,"&lt;="&amp;As_Of_Date-0)-COUNTIFS(Meetings!A:A,"&gt;="&amp;As_Of_Date-730,Meetings!A:A,"&lt;"&amp;As_Of_Date-365))/COUNTIFS(Meetings!A:A,"&gt;="&amp;As_Of_Date-730,Meetings!A:A,"&lt;"&amp;As_Of_Date-365),0)</f>
        <v>0</v>
      </c>
    </row>
    <row r="9" customFormat="false" ht="15" hidden="false" customHeight="false" outlineLevel="0" collapsed="false">
      <c r="A9" s="37" t="n">
        <v>5</v>
      </c>
      <c r="B9" s="13" t="s">
        <v>29</v>
      </c>
      <c r="C9" s="38" t="n">
        <f aca="false">COUNTIFS(Pipeline!G:G,"&gt;="&amp;As_Of_Date-7,Pipeline!G:G,"&lt;="&amp;As_Of_Date-0)</f>
        <v>0</v>
      </c>
      <c r="D9" s="38" t="n">
        <f aca="false">COUNTIFS(Pipeline!G:G,"&gt;="&amp;As_Of_Date-14,Pipeline!G:G,"&lt;"&amp;As_Of_Date-7)</f>
        <v>2</v>
      </c>
      <c r="E9" s="39" t="n">
        <f aca="false">IFERROR((C9-D9)/D9,0)</f>
        <v>-1</v>
      </c>
      <c r="F9" s="38" t="n">
        <f aca="false">COUNTIFS(Pipeline!G:G,"&gt;="&amp;As_Of_Date-30,Pipeline!G:G,"&lt;="&amp;As_Of_Date-0)</f>
        <v>3</v>
      </c>
      <c r="G9" s="38" t="n">
        <f aca="false">COUNTIFS(Pipeline!G:G,"&gt;="&amp;As_Of_Date-60,Pipeline!G:G,"&lt;"&amp;As_Of_Date-30)</f>
        <v>2</v>
      </c>
      <c r="H9" s="39" t="n">
        <f aca="false">IFERROR((F9-G9)/G9,0)</f>
        <v>0.5</v>
      </c>
      <c r="I9" s="38" t="n">
        <f aca="false">Targets!D38</f>
        <v>4</v>
      </c>
      <c r="J9" s="39" t="n">
        <f aca="false">IFERROR((F9-I9)/I9,0)</f>
        <v>-0.25</v>
      </c>
      <c r="K9" s="38" t="n">
        <f aca="false">COUNTIFS(Pipeline!G:G,"&gt;="&amp;As_Of_Date-91,Pipeline!G:G,"&lt;="&amp;As_Of_Date-0)</f>
        <v>5</v>
      </c>
      <c r="L9" s="38" t="n">
        <f aca="false">COUNTIFS(Pipeline!G:G,"&gt;="&amp;As_Of_Date-182,Pipeline!G:G,"&lt;"&amp;As_Of_Date-91)</f>
        <v>0</v>
      </c>
      <c r="M9" s="39" t="n">
        <f aca="false">IFERROR((K9-L9)/L9,0)</f>
        <v>0</v>
      </c>
      <c r="N9" s="39" t="n">
        <f aca="false">IFERROR((COUNTIFS(Pipeline!G:G,"&gt;="&amp;As_Of_Date-365,Pipeline!G:G,"&lt;="&amp;As_Of_Date-0)-COUNTIFS(Pipeline!G:G,"&gt;="&amp;As_Of_Date-730,Pipeline!G:G,"&lt;"&amp;As_Of_Date-365))/COUNTIFS(Pipeline!G:G,"&gt;="&amp;As_Of_Date-730,Pipeline!G:G,"&lt;"&amp;As_Of_Date-365),0)</f>
        <v>0</v>
      </c>
    </row>
    <row r="12" customFormat="false" ht="15" hidden="false" customHeight="false" outlineLevel="0" collapsed="false">
      <c r="B12" s="6" t="s">
        <v>104</v>
      </c>
    </row>
    <row r="13" customFormat="false" ht="15" hidden="false" customHeight="false" outlineLevel="0" collapsed="false">
      <c r="A13" s="37" t="n">
        <v>1</v>
      </c>
      <c r="B13" s="13" t="s">
        <v>105</v>
      </c>
      <c r="C13" s="40" t="n">
        <f aca="false">SUMIFS(Revenue_Ledger!E:E,Revenue_Ledger!A:A,"&gt;="&amp;As_Of_Date-7,Revenue_Ledger!A:A,"&lt;="&amp;As_Of_Date-0)</f>
        <v>13700</v>
      </c>
      <c r="D13" s="40" t="n">
        <f aca="false">SUMIFS(Revenue_Ledger!E:E,Revenue_Ledger!A:A,"&gt;="&amp;As_Of_Date-14,Revenue_Ledger!A:A,"&lt;"&amp;As_Of_Date-7)</f>
        <v>0</v>
      </c>
      <c r="E13" s="39" t="n">
        <f aca="false">IFERROR((C13-D13)/D13,0)</f>
        <v>0</v>
      </c>
      <c r="F13" s="40" t="n">
        <f aca="false">SUMIFS(Revenue_Ledger!E:E,Revenue_Ledger!A:A,"&gt;="&amp;As_Of_Date-30,Revenue_Ledger!A:A,"&lt;="&amp;As_Of_Date-0)</f>
        <v>13700</v>
      </c>
      <c r="G13" s="40" t="n">
        <f aca="false">SUMIFS(Revenue_Ledger!E:E,Revenue_Ledger!A:A,"&gt;="&amp;As_Of_Date-60,Revenue_Ledger!A:A,"&lt;"&amp;As_Of_Date-30)</f>
        <v>13700</v>
      </c>
      <c r="H13" s="39" t="n">
        <f aca="false">IFERROR((F13-G13)/G13,0)</f>
        <v>0</v>
      </c>
      <c r="I13" s="40" t="n">
        <f aca="false">Targets!C5/12</f>
        <v>41666.6666666667</v>
      </c>
      <c r="J13" s="39" t="n">
        <f aca="false">IFERROR((F13-I13)/I13,0)</f>
        <v>-0.6712</v>
      </c>
      <c r="K13" s="40" t="n">
        <f aca="false">SUMIFS(Revenue_Ledger!E:E,Revenue_Ledger!A:A,"&gt;="&amp;As_Of_Date-91,Revenue_Ledger!A:A,"&lt;="&amp;As_Of_Date-0)</f>
        <v>41100</v>
      </c>
      <c r="L13" s="40" t="n">
        <f aca="false">SUMIFS(Revenue_Ledger!E:E,Revenue_Ledger!A:A,"&gt;="&amp;DATE(YEAR(As_Of_Date),1,1),Revenue_Ledger!A:A,"&lt;="&amp;As_Of_Date)</f>
        <v>68500</v>
      </c>
      <c r="M13" s="39" t="n">
        <f aca="false">IFERROR((K13-SUMIFS(Revenue_Ledger!E:E,Revenue_Ledger!A:A,"&gt;="&amp;As_Of_Date-182,Revenue_Ledger!A:A,"&lt;"&amp;As_Of_Date-91))/SUMIFS(Revenue_Ledger!E:E,Revenue_Ledger!A:A,"&gt;="&amp;As_Of_Date-182,Revenue_Ledger!A:A,"&lt;"&amp;As_Of_Date-91),0)</f>
        <v>0.5</v>
      </c>
      <c r="N13" s="39" t="n">
        <f aca="false">IFERROR((SUMIFS(Revenue_Ledger!E:E,Revenue_Ledger!A:A,"&gt;="&amp;As_Of_Date-365,Revenue_Ledger!A:A,"&lt;="&amp;As_Of_Date-0)-SUMIFS(Revenue_Ledger!E:E,Revenue_Ledger!A:A,"&gt;="&amp;As_Of_Date-730,Revenue_Ledger!A:A,"&lt;"&amp;As_Of_Date-365))/SUMIFS(Revenue_Ledger!E:E,Revenue_Ledger!A:A,"&gt;="&amp;As_Of_Date-730,Revenue_Ledger!A:A,"&lt;"&amp;As_Of_Date-365),0)</f>
        <v>0</v>
      </c>
    </row>
    <row r="14" customFormat="false" ht="15" hidden="false" customHeight="false" outlineLevel="0" collapsed="false">
      <c r="A14" s="37" t="n">
        <v>2</v>
      </c>
      <c r="B14" s="13" t="s">
        <v>106</v>
      </c>
      <c r="C14" s="40" t="n">
        <f aca="false">SUMIFS(Expense_Ledger!D:D,Expense_Ledger!A:A,"&gt;="&amp;As_Of_Date-7,Expense_Ledger!A:A,"&lt;="&amp;As_Of_Date-0)</f>
        <v>0</v>
      </c>
      <c r="D14" s="40" t="n">
        <f aca="false">SUMIFS(Expense_Ledger!D:D,Expense_Ledger!A:A,"&gt;="&amp;As_Of_Date-14,Expense_Ledger!A:A,"&lt;"&amp;As_Of_Date-7)</f>
        <v>0</v>
      </c>
      <c r="E14" s="39" t="n">
        <f aca="false">IFERROR((C14-D14)/D14,0)</f>
        <v>0</v>
      </c>
      <c r="F14" s="40" t="n">
        <f aca="false">SUMIFS(Expense_Ledger!D:D,Expense_Ledger!A:A,"&gt;="&amp;As_Of_Date-30,Expense_Ledger!A:A,"&lt;="&amp;As_Of_Date-0)</f>
        <v>0</v>
      </c>
      <c r="G14" s="40" t="n">
        <f aca="false">SUMIFS(Expense_Ledger!D:D,Expense_Ledger!A:A,"&gt;="&amp;As_Of_Date-60,Expense_Ledger!A:A,"&lt;"&amp;As_Of_Date-30)</f>
        <v>0</v>
      </c>
      <c r="H14" s="39" t="n">
        <f aca="false">IFERROR((F14-G14)/G14,0)</f>
        <v>0</v>
      </c>
      <c r="I14" s="40" t="n">
        <f aca="false">Targets!C6/12</f>
        <v>17689.1666666667</v>
      </c>
      <c r="J14" s="39" t="n">
        <f aca="false">IFERROR((F14-I14)/I14,0)</f>
        <v>-1</v>
      </c>
      <c r="K14" s="40" t="n">
        <f aca="false">SUMIFS(Expense_Ledger!D:D,Expense_Ledger!A:A,"&gt;="&amp;As_Of_Date-91,Expense_Ledger!A:A,"&lt;="&amp;As_Of_Date-0)</f>
        <v>0</v>
      </c>
      <c r="L14" s="40" t="n">
        <f aca="false">SUMIFS(Expense_Ledger!D:D,Expense_Ledger!A:A,"&gt;="&amp;DATE(YEAR(As_Of_Date),1,1),Expense_Ledger!A:A,"&lt;="&amp;As_Of_Date)</f>
        <v>0</v>
      </c>
      <c r="M14" s="39" t="n">
        <f aca="false">IFERROR((K14-SUMIFS(Expense_Ledger!D:D,Expense_Ledger!A:A,"&gt;="&amp;As_Of_Date-182,Expense_Ledger!A:A,"&lt;"&amp;As_Of_Date-91))/SUMIFS(Expense_Ledger!D:D,Expense_Ledger!A:A,"&gt;="&amp;As_Of_Date-182,Expense_Ledger!A:A,"&lt;"&amp;As_Of_Date-91),0)</f>
        <v>0</v>
      </c>
      <c r="N14" s="39" t="n">
        <f aca="false">IFERROR((SUMIFS(Expense_Ledger!D:D,Expense_Ledger!A:A,"&gt;="&amp;As_Of_Date-365,Expense_Ledger!A:A,"&lt;="&amp;As_Of_Date-0)-SUMIFS(Expense_Ledger!D:D,Expense_Ledger!A:A,"&gt;="&amp;As_Of_Date-730,Expense_Ledger!A:A,"&lt;"&amp;As_Of_Date-365))/SUMIFS(Expense_Ledger!D:D,Expense_Ledger!A:A,"&gt;="&amp;As_Of_Date-730,Expense_Ledger!A:A,"&lt;"&amp;As_Of_Date-365),0)</f>
        <v>0</v>
      </c>
    </row>
    <row r="15" customFormat="false" ht="15" hidden="false" customHeight="false" outlineLevel="0" collapsed="false">
      <c r="A15" s="37" t="n">
        <v>3</v>
      </c>
      <c r="B15" s="13" t="s">
        <v>107</v>
      </c>
      <c r="C15" s="40" t="n">
        <f aca="false">C13-C14</f>
        <v>13700</v>
      </c>
      <c r="D15" s="40" t="n">
        <f aca="false">D13-D14</f>
        <v>0</v>
      </c>
      <c r="E15" s="39" t="n">
        <f aca="false">IFERROR((C15-D15)/D15,0)</f>
        <v>0</v>
      </c>
      <c r="F15" s="40" t="n">
        <f aca="false">F13-F14</f>
        <v>13700</v>
      </c>
      <c r="G15" s="40" t="n">
        <f aca="false">G13-G14</f>
        <v>13700</v>
      </c>
      <c r="H15" s="39" t="n">
        <f aca="false">IFERROR((F15-G15)/G15,0)</f>
        <v>0</v>
      </c>
      <c r="I15" s="40" t="n">
        <f aca="false">I13-I14</f>
        <v>23977.5</v>
      </c>
      <c r="J15" s="39" t="n">
        <f aca="false">IFERROR((F15-I15)/IF(I15=0,1,ABS(I15)),0)</f>
        <v>-0.428631008236889</v>
      </c>
      <c r="K15" s="40" t="n">
        <f aca="false">K13-K14</f>
        <v>41100</v>
      </c>
      <c r="L15" s="40" t="n">
        <f aca="false">L13-L14</f>
        <v>68500</v>
      </c>
      <c r="M15" s="39" t="n">
        <f aca="false">IFERROR((K15-((SUMIFS(Revenue_Ledger!E:E,Revenue_Ledger!A:A,"&gt;="&amp;As_Of_Date-182,Revenue_Ledger!A:A,"&lt;"&amp;As_Of_Date-91))-(SUMIFS(Expense_Ledger!D:D,Expense_Ledger!A:A,"&gt;="&amp;As_Of_Date-182,Expense_Ledger!A:A,"&lt;"&amp;As_Of_Date-91))))/IF(((SUMIFS(Revenue_Ledger!E:E,Revenue_Ledger!A:A,"&gt;="&amp;As_Of_Date-182,Revenue_Ledger!A:A,"&lt;"&amp;As_Of_Date-91))-(SUMIFS(Expense_Ledger!D:D,Expense_Ledger!A:A,"&gt;="&amp;As_Of_Date-182,Expense_Ledger!A:A,"&lt;"&amp;As_Of_Date-91)))=0,1,ABS((SUMIFS(Revenue_Ledger!E:E,Revenue_Ledger!A:A,"&gt;="&amp;As_Of_Date-182,Revenue_Ledger!A:A,"&lt;"&amp;As_Of_Date-91))-(SUMIFS(Expense_Ledger!D:D,Expense_Ledger!A:A,"&gt;="&amp;As_Of_Date-182,Expense_Ledger!A:A,"&lt;"&amp;As_Of_Date-91)))),0)</f>
        <v>0.5</v>
      </c>
      <c r="N15" s="39" t="n">
        <v>0</v>
      </c>
    </row>
    <row r="18" customFormat="false" ht="15" hidden="false" customHeight="false" outlineLevel="0" collapsed="false">
      <c r="B18" s="22" t="s">
        <v>108</v>
      </c>
    </row>
    <row r="19" customFormat="false" ht="15" hidden="false" customHeight="false" outlineLevel="0" collapsed="false">
      <c r="B19" s="5" t="s">
        <v>109</v>
      </c>
    </row>
    <row r="20" customFormat="false" ht="15" hidden="false" customHeight="false" outlineLevel="0" collapsed="false">
      <c r="B20" s="5" t="s">
        <v>110</v>
      </c>
    </row>
    <row r="21" customFormat="false" ht="15" hidden="false" customHeight="false" outlineLevel="0" collapsed="false">
      <c r="B21" s="5" t="s">
        <v>111</v>
      </c>
    </row>
    <row r="22" customFormat="false" ht="15" hidden="false" customHeight="false" outlineLevel="0" collapsed="false">
      <c r="B22" s="5" t="s">
        <v>112</v>
      </c>
    </row>
  </sheetData>
  <mergeCells count="2">
    <mergeCell ref="A1:N1"/>
    <mergeCell ref="A2:N2"/>
  </mergeCells>
  <conditionalFormatting sqref="E5:E1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5:H15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J5:J15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M5:M15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</formula>
    </cfRule>
  </conditionalFormatting>
  <conditionalFormatting sqref="N5:N15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H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2" t="s">
        <v>115</v>
      </c>
      <c r="B4" s="12" t="s">
        <v>116</v>
      </c>
      <c r="C4" s="12" t="s">
        <v>117</v>
      </c>
      <c r="D4" s="12" t="s">
        <v>118</v>
      </c>
      <c r="E4" s="12" t="s">
        <v>119</v>
      </c>
      <c r="F4" s="12" t="s">
        <v>120</v>
      </c>
      <c r="G4" s="12" t="s">
        <v>121</v>
      </c>
      <c r="H4" s="12" t="s">
        <v>87</v>
      </c>
    </row>
    <row r="5" customFormat="false" ht="15" hidden="false" customHeight="false" outlineLevel="0" collapsed="false">
      <c r="A5" s="41" t="n">
        <v>46053</v>
      </c>
      <c r="B5" s="42" t="s">
        <v>122</v>
      </c>
      <c r="C5" s="42" t="s">
        <v>123</v>
      </c>
      <c r="D5" s="42" t="s">
        <v>124</v>
      </c>
      <c r="E5" s="43" t="n">
        <v>11200</v>
      </c>
      <c r="F5" s="43" t="n">
        <v>11200</v>
      </c>
      <c r="G5" s="41" t="n">
        <v>46083</v>
      </c>
      <c r="H5" s="42" t="s">
        <v>125</v>
      </c>
    </row>
    <row r="6" customFormat="false" ht="15" hidden="false" customHeight="false" outlineLevel="0" collapsed="false">
      <c r="A6" s="41" t="n">
        <v>46053</v>
      </c>
      <c r="B6" s="42" t="s">
        <v>126</v>
      </c>
      <c r="C6" s="42" t="s">
        <v>127</v>
      </c>
      <c r="D6" s="42" t="s">
        <v>128</v>
      </c>
      <c r="E6" s="43" t="n">
        <v>2500</v>
      </c>
      <c r="F6" s="43" t="n">
        <v>2500</v>
      </c>
      <c r="G6" s="41" t="n">
        <v>46083</v>
      </c>
      <c r="H6" s="42" t="s">
        <v>125</v>
      </c>
    </row>
    <row r="7" customFormat="false" ht="15" hidden="false" customHeight="false" outlineLevel="0" collapsed="false">
      <c r="A7" s="41" t="n">
        <v>46081</v>
      </c>
      <c r="B7" s="42" t="s">
        <v>122</v>
      </c>
      <c r="C7" s="42" t="s">
        <v>123</v>
      </c>
      <c r="D7" s="42" t="s">
        <v>129</v>
      </c>
      <c r="E7" s="43" t="n">
        <v>11200</v>
      </c>
      <c r="F7" s="43" t="n">
        <v>11200</v>
      </c>
      <c r="G7" s="41" t="n">
        <v>46111</v>
      </c>
      <c r="H7" s="42" t="s">
        <v>130</v>
      </c>
    </row>
    <row r="8" customFormat="false" ht="15" hidden="false" customHeight="false" outlineLevel="0" collapsed="false">
      <c r="A8" s="41" t="n">
        <v>46081</v>
      </c>
      <c r="B8" s="42" t="s">
        <v>126</v>
      </c>
      <c r="C8" s="42" t="s">
        <v>127</v>
      </c>
      <c r="D8" s="42" t="s">
        <v>131</v>
      </c>
      <c r="E8" s="43" t="n">
        <v>2500</v>
      </c>
      <c r="F8" s="43" t="n">
        <v>2500</v>
      </c>
      <c r="G8" s="41" t="n">
        <v>46111</v>
      </c>
      <c r="H8" s="42" t="s">
        <v>130</v>
      </c>
    </row>
    <row r="9" customFormat="false" ht="15" hidden="false" customHeight="false" outlineLevel="0" collapsed="false">
      <c r="A9" s="41" t="n">
        <v>46112</v>
      </c>
      <c r="B9" s="42" t="s">
        <v>122</v>
      </c>
      <c r="C9" s="42" t="s">
        <v>123</v>
      </c>
      <c r="D9" s="42" t="s">
        <v>132</v>
      </c>
      <c r="E9" s="43" t="n">
        <v>11200</v>
      </c>
      <c r="F9" s="43" t="n">
        <v>11200</v>
      </c>
      <c r="G9" s="41" t="n">
        <v>46142</v>
      </c>
      <c r="H9" s="42" t="s">
        <v>133</v>
      </c>
    </row>
    <row r="10" customFormat="false" ht="15" hidden="false" customHeight="false" outlineLevel="0" collapsed="false">
      <c r="A10" s="41" t="n">
        <v>46112</v>
      </c>
      <c r="B10" s="42" t="s">
        <v>126</v>
      </c>
      <c r="C10" s="42" t="s">
        <v>127</v>
      </c>
      <c r="D10" s="42" t="s">
        <v>134</v>
      </c>
      <c r="E10" s="43" t="n">
        <v>2500</v>
      </c>
      <c r="F10" s="43" t="n">
        <v>2500</v>
      </c>
      <c r="G10" s="41" t="n">
        <v>46142</v>
      </c>
      <c r="H10" s="42" t="s">
        <v>133</v>
      </c>
    </row>
    <row r="11" customFormat="false" ht="15" hidden="false" customHeight="false" outlineLevel="0" collapsed="false">
      <c r="A11" s="41" t="n">
        <v>46142</v>
      </c>
      <c r="B11" s="42" t="s">
        <v>122</v>
      </c>
      <c r="C11" s="42" t="s">
        <v>123</v>
      </c>
      <c r="D11" s="42" t="s">
        <v>135</v>
      </c>
      <c r="E11" s="43" t="n">
        <v>11200</v>
      </c>
      <c r="F11" s="43" t="n">
        <v>11200</v>
      </c>
      <c r="G11" s="41" t="n">
        <v>46171</v>
      </c>
      <c r="H11" s="42" t="s">
        <v>136</v>
      </c>
    </row>
    <row r="12" customFormat="false" ht="15" hidden="false" customHeight="false" outlineLevel="0" collapsed="false">
      <c r="A12" s="41" t="n">
        <v>46142</v>
      </c>
      <c r="B12" s="42" t="s">
        <v>126</v>
      </c>
      <c r="C12" s="42" t="s">
        <v>127</v>
      </c>
      <c r="D12" s="42" t="s">
        <v>137</v>
      </c>
      <c r="E12" s="43" t="n">
        <v>2500</v>
      </c>
      <c r="F12" s="43" t="n">
        <v>2500</v>
      </c>
      <c r="G12" s="41" t="n">
        <v>46171</v>
      </c>
      <c r="H12" s="42" t="s">
        <v>136</v>
      </c>
    </row>
    <row r="13" customFormat="false" ht="15" hidden="false" customHeight="false" outlineLevel="0" collapsed="false">
      <c r="A13" s="41" t="n">
        <v>46173</v>
      </c>
      <c r="B13" s="42" t="s">
        <v>122</v>
      </c>
      <c r="C13" s="42" t="s">
        <v>123</v>
      </c>
      <c r="D13" s="42" t="s">
        <v>138</v>
      </c>
      <c r="E13" s="43" t="n">
        <v>11200</v>
      </c>
      <c r="F13" s="42"/>
      <c r="G13" s="42"/>
      <c r="H13" s="42" t="s">
        <v>139</v>
      </c>
    </row>
    <row r="14" customFormat="false" ht="15" hidden="false" customHeight="false" outlineLevel="0" collapsed="false">
      <c r="A14" s="41" t="n">
        <v>46173</v>
      </c>
      <c r="B14" s="42" t="s">
        <v>126</v>
      </c>
      <c r="C14" s="42" t="s">
        <v>127</v>
      </c>
      <c r="D14" s="42" t="s">
        <v>140</v>
      </c>
      <c r="E14" s="43" t="n">
        <v>2500</v>
      </c>
      <c r="F14" s="42"/>
      <c r="G14" s="42"/>
      <c r="H14" s="42" t="s">
        <v>139</v>
      </c>
    </row>
    <row r="15" customFormat="false" ht="15" hidden="false" customHeight="false" outlineLevel="0" collapsed="false">
      <c r="A15" s="41"/>
      <c r="B15" s="42"/>
      <c r="C15" s="42"/>
      <c r="D15" s="42"/>
      <c r="E15" s="43"/>
      <c r="F15" s="43"/>
      <c r="G15" s="41"/>
      <c r="H15" s="42"/>
    </row>
    <row r="16" customFormat="false" ht="15" hidden="false" customHeight="false" outlineLevel="0" collapsed="false">
      <c r="A16" s="41"/>
      <c r="B16" s="42"/>
      <c r="C16" s="42"/>
      <c r="D16" s="42"/>
      <c r="E16" s="43"/>
      <c r="F16" s="43"/>
      <c r="G16" s="41"/>
      <c r="H16" s="42"/>
    </row>
    <row r="17" customFormat="false" ht="15" hidden="false" customHeight="false" outlineLevel="0" collapsed="false">
      <c r="A17" s="41"/>
      <c r="B17" s="42"/>
      <c r="C17" s="42"/>
      <c r="D17" s="42"/>
      <c r="E17" s="43"/>
      <c r="F17" s="43"/>
      <c r="G17" s="41"/>
      <c r="H17" s="42"/>
    </row>
    <row r="18" customFormat="false" ht="15" hidden="false" customHeight="false" outlineLevel="0" collapsed="false">
      <c r="A18" s="41"/>
      <c r="B18" s="42"/>
      <c r="C18" s="42"/>
      <c r="D18" s="42"/>
      <c r="E18" s="43"/>
      <c r="F18" s="43"/>
      <c r="G18" s="41"/>
      <c r="H18" s="42"/>
    </row>
    <row r="19" customFormat="false" ht="15" hidden="false" customHeight="false" outlineLevel="0" collapsed="false">
      <c r="A19" s="41"/>
      <c r="B19" s="42"/>
      <c r="C19" s="42"/>
      <c r="D19" s="42"/>
      <c r="E19" s="43"/>
      <c r="F19" s="43"/>
      <c r="G19" s="41"/>
      <c r="H19" s="42"/>
    </row>
    <row r="20" customFormat="false" ht="15" hidden="false" customHeight="false" outlineLevel="0" collapsed="false">
      <c r="A20" s="41"/>
      <c r="B20" s="42"/>
      <c r="C20" s="42"/>
      <c r="D20" s="42"/>
      <c r="E20" s="43"/>
      <c r="F20" s="43"/>
      <c r="G20" s="41"/>
      <c r="H20" s="42"/>
    </row>
    <row r="21" customFormat="false" ht="15" hidden="false" customHeight="false" outlineLevel="0" collapsed="false">
      <c r="A21" s="41"/>
      <c r="B21" s="42"/>
      <c r="C21" s="42"/>
      <c r="D21" s="42"/>
      <c r="E21" s="43"/>
      <c r="F21" s="43"/>
      <c r="G21" s="41"/>
      <c r="H21" s="42"/>
    </row>
    <row r="22" customFormat="false" ht="15" hidden="false" customHeight="false" outlineLevel="0" collapsed="false">
      <c r="A22" s="41"/>
      <c r="B22" s="42"/>
      <c r="C22" s="42"/>
      <c r="D22" s="42"/>
      <c r="E22" s="43"/>
      <c r="F22" s="43"/>
      <c r="G22" s="41"/>
      <c r="H22" s="42"/>
    </row>
    <row r="23" customFormat="false" ht="15" hidden="false" customHeight="false" outlineLevel="0" collapsed="false">
      <c r="A23" s="41"/>
      <c r="B23" s="42"/>
      <c r="C23" s="42"/>
      <c r="D23" s="42"/>
      <c r="E23" s="43"/>
      <c r="F23" s="43"/>
      <c r="G23" s="41"/>
      <c r="H23" s="42"/>
    </row>
    <row r="24" customFormat="false" ht="15" hidden="false" customHeight="false" outlineLevel="0" collapsed="false">
      <c r="A24" s="41"/>
      <c r="B24" s="42"/>
      <c r="C24" s="42"/>
      <c r="D24" s="42"/>
      <c r="E24" s="43"/>
      <c r="F24" s="43"/>
      <c r="G24" s="41"/>
      <c r="H24" s="42"/>
    </row>
    <row r="25" customFormat="false" ht="15" hidden="false" customHeight="false" outlineLevel="0" collapsed="false">
      <c r="A25" s="41"/>
      <c r="B25" s="42"/>
      <c r="C25" s="42"/>
      <c r="D25" s="42"/>
      <c r="E25" s="43"/>
      <c r="F25" s="43"/>
      <c r="G25" s="41"/>
      <c r="H25" s="42"/>
    </row>
    <row r="26" customFormat="false" ht="15" hidden="false" customHeight="false" outlineLevel="0" collapsed="false">
      <c r="A26" s="41"/>
      <c r="B26" s="42"/>
      <c r="C26" s="42"/>
      <c r="D26" s="42"/>
      <c r="E26" s="43"/>
      <c r="F26" s="43"/>
      <c r="G26" s="41"/>
      <c r="H26" s="42"/>
    </row>
    <row r="27" customFormat="false" ht="15" hidden="false" customHeight="false" outlineLevel="0" collapsed="false">
      <c r="A27" s="41"/>
      <c r="B27" s="42"/>
      <c r="C27" s="42"/>
      <c r="D27" s="42"/>
      <c r="E27" s="43"/>
      <c r="F27" s="43"/>
      <c r="G27" s="41"/>
      <c r="H27" s="42"/>
    </row>
    <row r="28" customFormat="false" ht="15" hidden="false" customHeight="false" outlineLevel="0" collapsed="false">
      <c r="A28" s="41"/>
      <c r="B28" s="42"/>
      <c r="C28" s="42"/>
      <c r="D28" s="42"/>
      <c r="E28" s="43"/>
      <c r="F28" s="43"/>
      <c r="G28" s="41"/>
      <c r="H28" s="42"/>
    </row>
    <row r="29" customFormat="false" ht="15" hidden="false" customHeight="false" outlineLevel="0" collapsed="false">
      <c r="A29" s="41"/>
      <c r="B29" s="42"/>
      <c r="C29" s="42"/>
      <c r="D29" s="42"/>
      <c r="E29" s="43"/>
      <c r="F29" s="43"/>
      <c r="G29" s="41"/>
      <c r="H29" s="42"/>
    </row>
    <row r="30" customFormat="false" ht="15" hidden="false" customHeight="false" outlineLevel="0" collapsed="false">
      <c r="A30" s="41"/>
      <c r="B30" s="42"/>
      <c r="C30" s="42"/>
      <c r="D30" s="42"/>
      <c r="E30" s="43"/>
      <c r="F30" s="43"/>
      <c r="G30" s="41"/>
      <c r="H30" s="42"/>
    </row>
    <row r="31" customFormat="false" ht="15" hidden="false" customHeight="false" outlineLevel="0" collapsed="false">
      <c r="A31" s="41"/>
      <c r="B31" s="42"/>
      <c r="C31" s="42"/>
      <c r="D31" s="42"/>
      <c r="E31" s="43"/>
      <c r="F31" s="43"/>
      <c r="G31" s="41"/>
      <c r="H31" s="42"/>
    </row>
    <row r="32" customFormat="false" ht="15" hidden="false" customHeight="false" outlineLevel="0" collapsed="false">
      <c r="A32" s="41"/>
      <c r="B32" s="42"/>
      <c r="C32" s="42"/>
      <c r="D32" s="42"/>
      <c r="E32" s="43"/>
      <c r="F32" s="43"/>
      <c r="G32" s="41"/>
      <c r="H32" s="42"/>
    </row>
    <row r="33" customFormat="false" ht="15" hidden="false" customHeight="false" outlineLevel="0" collapsed="false">
      <c r="A33" s="41"/>
      <c r="B33" s="42"/>
      <c r="C33" s="42"/>
      <c r="D33" s="42"/>
      <c r="E33" s="43"/>
      <c r="F33" s="43"/>
      <c r="G33" s="41"/>
      <c r="H33" s="42"/>
    </row>
    <row r="34" customFormat="false" ht="15" hidden="false" customHeight="false" outlineLevel="0" collapsed="false">
      <c r="A34" s="41"/>
      <c r="B34" s="42"/>
      <c r="C34" s="42"/>
      <c r="D34" s="42"/>
      <c r="E34" s="43"/>
      <c r="F34" s="43"/>
      <c r="G34" s="41"/>
      <c r="H34" s="42"/>
    </row>
    <row r="35" customFormat="false" ht="15" hidden="false" customHeight="false" outlineLevel="0" collapsed="false">
      <c r="A35" s="41"/>
      <c r="B35" s="42"/>
      <c r="C35" s="42"/>
      <c r="D35" s="42"/>
      <c r="E35" s="43"/>
      <c r="F35" s="43"/>
      <c r="G35" s="41"/>
      <c r="H35" s="42"/>
    </row>
    <row r="36" customFormat="false" ht="15" hidden="false" customHeight="false" outlineLevel="0" collapsed="false">
      <c r="A36" s="41"/>
      <c r="B36" s="42"/>
      <c r="C36" s="42"/>
      <c r="D36" s="42"/>
      <c r="E36" s="43"/>
      <c r="F36" s="43"/>
      <c r="G36" s="41"/>
      <c r="H36" s="42"/>
    </row>
    <row r="37" customFormat="false" ht="15" hidden="false" customHeight="false" outlineLevel="0" collapsed="false">
      <c r="A37" s="41"/>
      <c r="B37" s="42"/>
      <c r="C37" s="42"/>
      <c r="D37" s="42"/>
      <c r="E37" s="43"/>
      <c r="F37" s="43"/>
      <c r="G37" s="41"/>
      <c r="H37" s="42"/>
    </row>
    <row r="38" customFormat="false" ht="15" hidden="false" customHeight="false" outlineLevel="0" collapsed="false">
      <c r="A38" s="41"/>
      <c r="B38" s="42"/>
      <c r="C38" s="42"/>
      <c r="D38" s="42"/>
      <c r="E38" s="43"/>
      <c r="F38" s="43"/>
      <c r="G38" s="41"/>
      <c r="H38" s="42"/>
    </row>
    <row r="39" customFormat="false" ht="15" hidden="false" customHeight="false" outlineLevel="0" collapsed="false">
      <c r="A39" s="41"/>
      <c r="B39" s="42"/>
      <c r="C39" s="42"/>
      <c r="D39" s="42"/>
      <c r="E39" s="43"/>
      <c r="F39" s="43"/>
      <c r="G39" s="41"/>
      <c r="H39" s="42"/>
    </row>
    <row r="40" customFormat="false" ht="15" hidden="false" customHeight="false" outlineLevel="0" collapsed="false">
      <c r="A40" s="41"/>
      <c r="B40" s="42"/>
      <c r="C40" s="42"/>
      <c r="D40" s="42"/>
      <c r="E40" s="43"/>
      <c r="F40" s="43"/>
      <c r="G40" s="41"/>
      <c r="H40" s="42"/>
    </row>
    <row r="41" customFormat="false" ht="15" hidden="false" customHeight="false" outlineLevel="0" collapsed="false">
      <c r="A41" s="41"/>
      <c r="B41" s="42"/>
      <c r="C41" s="42"/>
      <c r="D41" s="42"/>
      <c r="E41" s="43"/>
      <c r="F41" s="43"/>
      <c r="G41" s="41"/>
      <c r="H41" s="42"/>
    </row>
    <row r="42" customFormat="false" ht="15" hidden="false" customHeight="false" outlineLevel="0" collapsed="false">
      <c r="A42" s="41"/>
      <c r="B42" s="42"/>
      <c r="C42" s="42"/>
      <c r="D42" s="42"/>
      <c r="E42" s="43"/>
      <c r="F42" s="43"/>
      <c r="G42" s="41"/>
      <c r="H42" s="42"/>
    </row>
    <row r="43" customFormat="false" ht="15" hidden="false" customHeight="false" outlineLevel="0" collapsed="false">
      <c r="A43" s="41"/>
      <c r="B43" s="42"/>
      <c r="C43" s="42"/>
      <c r="D43" s="42"/>
      <c r="E43" s="43"/>
      <c r="F43" s="43"/>
      <c r="G43" s="41"/>
      <c r="H43" s="42"/>
    </row>
    <row r="44" customFormat="false" ht="15" hidden="false" customHeight="false" outlineLevel="0" collapsed="false">
      <c r="A44" s="41"/>
      <c r="B44" s="42"/>
      <c r="C44" s="42"/>
      <c r="D44" s="42"/>
      <c r="E44" s="43"/>
      <c r="F44" s="43"/>
      <c r="G44" s="41"/>
      <c r="H44" s="42"/>
    </row>
    <row r="45" customFormat="false" ht="15" hidden="false" customHeight="false" outlineLevel="0" collapsed="false">
      <c r="A45" s="41"/>
      <c r="B45" s="42"/>
      <c r="C45" s="42"/>
      <c r="D45" s="42"/>
      <c r="E45" s="43"/>
      <c r="F45" s="43"/>
      <c r="G45" s="41"/>
      <c r="H45" s="42"/>
    </row>
    <row r="46" customFormat="false" ht="15" hidden="false" customHeight="false" outlineLevel="0" collapsed="false">
      <c r="A46" s="41"/>
      <c r="B46" s="42"/>
      <c r="C46" s="42"/>
      <c r="D46" s="42"/>
      <c r="E46" s="43"/>
      <c r="F46" s="43"/>
      <c r="G46" s="41"/>
      <c r="H46" s="42"/>
    </row>
    <row r="47" customFormat="false" ht="15" hidden="false" customHeight="false" outlineLevel="0" collapsed="false">
      <c r="A47" s="41"/>
      <c r="B47" s="42"/>
      <c r="C47" s="42"/>
      <c r="D47" s="42"/>
      <c r="E47" s="43"/>
      <c r="F47" s="43"/>
      <c r="G47" s="41"/>
      <c r="H47" s="42"/>
    </row>
    <row r="48" customFormat="false" ht="15" hidden="false" customHeight="false" outlineLevel="0" collapsed="false">
      <c r="A48" s="41"/>
      <c r="B48" s="42"/>
      <c r="C48" s="42"/>
      <c r="D48" s="42"/>
      <c r="E48" s="43"/>
      <c r="F48" s="43"/>
      <c r="G48" s="41"/>
      <c r="H48" s="42"/>
    </row>
    <row r="49" customFormat="false" ht="15" hidden="false" customHeight="false" outlineLevel="0" collapsed="false">
      <c r="A49" s="41"/>
      <c r="B49" s="42"/>
      <c r="C49" s="42"/>
      <c r="D49" s="42"/>
      <c r="E49" s="43"/>
      <c r="F49" s="43"/>
      <c r="G49" s="41"/>
      <c r="H49" s="42"/>
    </row>
    <row r="50" customFormat="false" ht="15" hidden="false" customHeight="false" outlineLevel="0" collapsed="false">
      <c r="A50" s="41"/>
      <c r="B50" s="42"/>
      <c r="C50" s="42"/>
      <c r="D50" s="42"/>
      <c r="E50" s="43"/>
      <c r="F50" s="43"/>
      <c r="G50" s="41"/>
      <c r="H50" s="42"/>
    </row>
    <row r="51" customFormat="false" ht="15" hidden="false" customHeight="false" outlineLevel="0" collapsed="false">
      <c r="A51" s="41"/>
      <c r="B51" s="42"/>
      <c r="C51" s="42"/>
      <c r="D51" s="42"/>
      <c r="E51" s="43"/>
      <c r="F51" s="43"/>
      <c r="G51" s="41"/>
      <c r="H51" s="42"/>
    </row>
    <row r="52" customFormat="false" ht="15" hidden="false" customHeight="false" outlineLevel="0" collapsed="false">
      <c r="A52" s="41"/>
      <c r="B52" s="42"/>
      <c r="C52" s="42"/>
      <c r="D52" s="42"/>
      <c r="E52" s="43"/>
      <c r="F52" s="43"/>
      <c r="G52" s="41"/>
      <c r="H52" s="42"/>
    </row>
    <row r="53" customFormat="false" ht="15" hidden="false" customHeight="false" outlineLevel="0" collapsed="false">
      <c r="A53" s="41"/>
      <c r="B53" s="42"/>
      <c r="C53" s="42"/>
      <c r="D53" s="42"/>
      <c r="E53" s="43"/>
      <c r="F53" s="43"/>
      <c r="G53" s="41"/>
      <c r="H53" s="42"/>
    </row>
    <row r="54" customFormat="false" ht="15" hidden="false" customHeight="false" outlineLevel="0" collapsed="false">
      <c r="A54" s="41"/>
      <c r="B54" s="42"/>
      <c r="C54" s="42"/>
      <c r="D54" s="42"/>
      <c r="E54" s="43"/>
      <c r="F54" s="43"/>
      <c r="G54" s="41"/>
      <c r="H54" s="42"/>
    </row>
    <row r="55" customFormat="false" ht="15" hidden="false" customHeight="false" outlineLevel="0" collapsed="false">
      <c r="A55" s="41"/>
      <c r="B55" s="42"/>
      <c r="C55" s="42"/>
      <c r="D55" s="42"/>
      <c r="E55" s="43"/>
      <c r="F55" s="43"/>
      <c r="G55" s="41"/>
      <c r="H55" s="42"/>
    </row>
    <row r="56" customFormat="false" ht="15" hidden="false" customHeight="false" outlineLevel="0" collapsed="false">
      <c r="A56" s="41"/>
      <c r="B56" s="42"/>
      <c r="C56" s="42"/>
      <c r="D56" s="42"/>
      <c r="E56" s="43"/>
      <c r="F56" s="43"/>
      <c r="G56" s="41"/>
      <c r="H56" s="42"/>
    </row>
    <row r="57" customFormat="false" ht="15" hidden="false" customHeight="false" outlineLevel="0" collapsed="false">
      <c r="A57" s="41"/>
      <c r="B57" s="42"/>
      <c r="C57" s="42"/>
      <c r="D57" s="42"/>
      <c r="E57" s="43"/>
      <c r="F57" s="43"/>
      <c r="G57" s="41"/>
      <c r="H57" s="42"/>
    </row>
    <row r="58" customFormat="false" ht="15" hidden="false" customHeight="false" outlineLevel="0" collapsed="false">
      <c r="A58" s="41"/>
      <c r="B58" s="42"/>
      <c r="C58" s="42"/>
      <c r="D58" s="42"/>
      <c r="E58" s="43"/>
      <c r="F58" s="43"/>
      <c r="G58" s="41"/>
      <c r="H58" s="42"/>
    </row>
    <row r="59" customFormat="false" ht="15" hidden="false" customHeight="false" outlineLevel="0" collapsed="false">
      <c r="A59" s="41"/>
      <c r="B59" s="42"/>
      <c r="C59" s="42"/>
      <c r="D59" s="42"/>
      <c r="E59" s="43"/>
      <c r="F59" s="43"/>
      <c r="G59" s="41"/>
      <c r="H59" s="42"/>
    </row>
    <row r="60" customFormat="false" ht="15" hidden="false" customHeight="false" outlineLevel="0" collapsed="false">
      <c r="A60" s="41"/>
      <c r="B60" s="42"/>
      <c r="C60" s="42"/>
      <c r="D60" s="42"/>
      <c r="E60" s="43"/>
      <c r="F60" s="43"/>
      <c r="G60" s="41"/>
      <c r="H60" s="42"/>
    </row>
    <row r="61" customFormat="false" ht="15" hidden="false" customHeight="false" outlineLevel="0" collapsed="false">
      <c r="A61" s="41"/>
      <c r="B61" s="42"/>
      <c r="C61" s="42"/>
      <c r="D61" s="42"/>
      <c r="E61" s="43"/>
      <c r="F61" s="43"/>
      <c r="G61" s="41"/>
      <c r="H61" s="42"/>
    </row>
    <row r="62" customFormat="false" ht="15" hidden="false" customHeight="false" outlineLevel="0" collapsed="false">
      <c r="A62" s="41"/>
      <c r="B62" s="42"/>
      <c r="C62" s="42"/>
      <c r="D62" s="42"/>
      <c r="E62" s="43"/>
      <c r="F62" s="43"/>
      <c r="G62" s="41"/>
      <c r="H62" s="42"/>
    </row>
    <row r="63" customFormat="false" ht="15" hidden="false" customHeight="false" outlineLevel="0" collapsed="false">
      <c r="A63" s="41"/>
      <c r="B63" s="42"/>
      <c r="C63" s="42"/>
      <c r="D63" s="42"/>
      <c r="E63" s="43"/>
      <c r="F63" s="43"/>
      <c r="G63" s="41"/>
      <c r="H63" s="42"/>
    </row>
    <row r="64" customFormat="false" ht="15" hidden="false" customHeight="false" outlineLevel="0" collapsed="false">
      <c r="A64" s="41"/>
      <c r="B64" s="42"/>
      <c r="C64" s="42"/>
      <c r="D64" s="42"/>
      <c r="E64" s="43"/>
      <c r="F64" s="43"/>
      <c r="G64" s="41"/>
      <c r="H64" s="42"/>
    </row>
    <row r="65" customFormat="false" ht="15" hidden="false" customHeight="false" outlineLevel="0" collapsed="false">
      <c r="A65" s="41"/>
      <c r="B65" s="42"/>
      <c r="C65" s="42"/>
      <c r="D65" s="42"/>
      <c r="E65" s="43"/>
      <c r="F65" s="43"/>
      <c r="G65" s="41"/>
      <c r="H65" s="42"/>
    </row>
    <row r="66" customFormat="false" ht="15" hidden="false" customHeight="false" outlineLevel="0" collapsed="false">
      <c r="A66" s="41"/>
      <c r="B66" s="42"/>
      <c r="C66" s="42"/>
      <c r="D66" s="42"/>
      <c r="E66" s="43"/>
      <c r="F66" s="43"/>
      <c r="G66" s="41"/>
      <c r="H66" s="42"/>
    </row>
    <row r="67" customFormat="false" ht="15" hidden="false" customHeight="false" outlineLevel="0" collapsed="false">
      <c r="A67" s="41"/>
      <c r="B67" s="42"/>
      <c r="C67" s="42"/>
      <c r="D67" s="42"/>
      <c r="E67" s="43"/>
      <c r="F67" s="43"/>
      <c r="G67" s="41"/>
      <c r="H67" s="42"/>
    </row>
    <row r="68" customFormat="false" ht="15" hidden="false" customHeight="false" outlineLevel="0" collapsed="false">
      <c r="A68" s="41"/>
      <c r="B68" s="42"/>
      <c r="C68" s="42"/>
      <c r="D68" s="42"/>
      <c r="E68" s="43"/>
      <c r="F68" s="43"/>
      <c r="G68" s="41"/>
      <c r="H68" s="42"/>
    </row>
    <row r="69" customFormat="false" ht="15" hidden="false" customHeight="false" outlineLevel="0" collapsed="false">
      <c r="A69" s="41"/>
      <c r="B69" s="42"/>
      <c r="C69" s="42"/>
      <c r="D69" s="42"/>
      <c r="E69" s="43"/>
      <c r="F69" s="43"/>
      <c r="G69" s="41"/>
      <c r="H69" s="42"/>
    </row>
    <row r="70" customFormat="false" ht="15" hidden="false" customHeight="false" outlineLevel="0" collapsed="false">
      <c r="A70" s="41"/>
      <c r="B70" s="42"/>
      <c r="C70" s="42"/>
      <c r="D70" s="42"/>
      <c r="E70" s="43"/>
      <c r="F70" s="43"/>
      <c r="G70" s="41"/>
      <c r="H70" s="42"/>
    </row>
    <row r="71" customFormat="false" ht="15" hidden="false" customHeight="false" outlineLevel="0" collapsed="false">
      <c r="A71" s="41"/>
      <c r="B71" s="42"/>
      <c r="C71" s="42"/>
      <c r="D71" s="42"/>
      <c r="E71" s="43"/>
      <c r="F71" s="43"/>
      <c r="G71" s="41"/>
      <c r="H71" s="42"/>
    </row>
    <row r="72" customFormat="false" ht="15" hidden="false" customHeight="false" outlineLevel="0" collapsed="false">
      <c r="A72" s="41"/>
      <c r="B72" s="42"/>
      <c r="C72" s="42"/>
      <c r="D72" s="42"/>
      <c r="E72" s="43"/>
      <c r="F72" s="43"/>
      <c r="G72" s="41"/>
      <c r="H72" s="42"/>
    </row>
    <row r="73" customFormat="false" ht="15" hidden="false" customHeight="false" outlineLevel="0" collapsed="false">
      <c r="A73" s="41"/>
      <c r="B73" s="42"/>
      <c r="C73" s="42"/>
      <c r="D73" s="42"/>
      <c r="E73" s="43"/>
      <c r="F73" s="43"/>
      <c r="G73" s="41"/>
      <c r="H73" s="42"/>
    </row>
    <row r="74" customFormat="false" ht="15" hidden="false" customHeight="false" outlineLevel="0" collapsed="false">
      <c r="A74" s="41"/>
      <c r="B74" s="42"/>
      <c r="C74" s="42"/>
      <c r="D74" s="42"/>
      <c r="E74" s="43"/>
      <c r="F74" s="43"/>
      <c r="G74" s="41"/>
      <c r="H74" s="42"/>
    </row>
    <row r="75" customFormat="false" ht="15" hidden="false" customHeight="false" outlineLevel="0" collapsed="false">
      <c r="A75" s="41"/>
      <c r="B75" s="42"/>
      <c r="C75" s="42"/>
      <c r="D75" s="42"/>
      <c r="E75" s="43"/>
      <c r="F75" s="43"/>
      <c r="G75" s="41"/>
      <c r="H75" s="42"/>
    </row>
    <row r="76" customFormat="false" ht="15" hidden="false" customHeight="false" outlineLevel="0" collapsed="false">
      <c r="A76" s="41"/>
      <c r="B76" s="42"/>
      <c r="C76" s="42"/>
      <c r="D76" s="42"/>
      <c r="E76" s="43"/>
      <c r="F76" s="43"/>
      <c r="G76" s="41"/>
      <c r="H76" s="42"/>
    </row>
    <row r="77" customFormat="false" ht="15" hidden="false" customHeight="false" outlineLevel="0" collapsed="false">
      <c r="A77" s="41"/>
      <c r="B77" s="42"/>
      <c r="C77" s="42"/>
      <c r="D77" s="42"/>
      <c r="E77" s="43"/>
      <c r="F77" s="43"/>
      <c r="G77" s="41"/>
      <c r="H77" s="42"/>
    </row>
    <row r="78" customFormat="false" ht="15" hidden="false" customHeight="false" outlineLevel="0" collapsed="false">
      <c r="A78" s="41"/>
      <c r="B78" s="42"/>
      <c r="C78" s="42"/>
      <c r="D78" s="42"/>
      <c r="E78" s="43"/>
      <c r="F78" s="43"/>
      <c r="G78" s="41"/>
      <c r="H78" s="42"/>
    </row>
    <row r="79" customFormat="false" ht="15" hidden="false" customHeight="false" outlineLevel="0" collapsed="false">
      <c r="A79" s="41"/>
      <c r="B79" s="42"/>
      <c r="C79" s="42"/>
      <c r="D79" s="42"/>
      <c r="E79" s="43"/>
      <c r="F79" s="43"/>
      <c r="G79" s="41"/>
      <c r="H79" s="42"/>
    </row>
    <row r="80" customFormat="false" ht="15" hidden="false" customHeight="false" outlineLevel="0" collapsed="false">
      <c r="A80" s="41"/>
      <c r="B80" s="42"/>
      <c r="C80" s="42"/>
      <c r="D80" s="42"/>
      <c r="E80" s="43"/>
      <c r="F80" s="43"/>
      <c r="G80" s="41"/>
      <c r="H80" s="42"/>
    </row>
    <row r="81" customFormat="false" ht="15" hidden="false" customHeight="false" outlineLevel="0" collapsed="false">
      <c r="A81" s="41"/>
      <c r="B81" s="42"/>
      <c r="C81" s="42"/>
      <c r="D81" s="42"/>
      <c r="E81" s="43"/>
      <c r="F81" s="43"/>
      <c r="G81" s="41"/>
      <c r="H81" s="42"/>
    </row>
    <row r="82" customFormat="false" ht="15" hidden="false" customHeight="false" outlineLevel="0" collapsed="false">
      <c r="A82" s="41"/>
      <c r="B82" s="42"/>
      <c r="C82" s="42"/>
      <c r="D82" s="42"/>
      <c r="E82" s="43"/>
      <c r="F82" s="43"/>
      <c r="G82" s="41"/>
      <c r="H82" s="42"/>
    </row>
    <row r="83" customFormat="false" ht="15" hidden="false" customHeight="false" outlineLevel="0" collapsed="false">
      <c r="A83" s="41"/>
      <c r="B83" s="42"/>
      <c r="C83" s="42"/>
      <c r="D83" s="42"/>
      <c r="E83" s="43"/>
      <c r="F83" s="43"/>
      <c r="G83" s="41"/>
      <c r="H83" s="42"/>
    </row>
    <row r="84" customFormat="false" ht="15" hidden="false" customHeight="false" outlineLevel="0" collapsed="false">
      <c r="A84" s="41"/>
      <c r="B84" s="42"/>
      <c r="C84" s="42"/>
      <c r="D84" s="42"/>
      <c r="E84" s="43"/>
      <c r="F84" s="43"/>
      <c r="G84" s="41"/>
      <c r="H84" s="42"/>
    </row>
    <row r="85" customFormat="false" ht="15" hidden="false" customHeight="false" outlineLevel="0" collapsed="false">
      <c r="A85" s="41"/>
      <c r="B85" s="42"/>
      <c r="C85" s="42"/>
      <c r="D85" s="42"/>
      <c r="E85" s="43"/>
      <c r="F85" s="43"/>
      <c r="G85" s="41"/>
      <c r="H85" s="42"/>
    </row>
    <row r="86" customFormat="false" ht="15" hidden="false" customHeight="false" outlineLevel="0" collapsed="false">
      <c r="A86" s="41"/>
      <c r="B86" s="42"/>
      <c r="C86" s="42"/>
      <c r="D86" s="42"/>
      <c r="E86" s="43"/>
      <c r="F86" s="43"/>
      <c r="G86" s="41"/>
      <c r="H86" s="42"/>
    </row>
    <row r="87" customFormat="false" ht="15" hidden="false" customHeight="false" outlineLevel="0" collapsed="false">
      <c r="A87" s="41"/>
      <c r="B87" s="42"/>
      <c r="C87" s="42"/>
      <c r="D87" s="42"/>
      <c r="E87" s="43"/>
      <c r="F87" s="43"/>
      <c r="G87" s="41"/>
      <c r="H87" s="42"/>
    </row>
    <row r="88" customFormat="false" ht="15" hidden="false" customHeight="false" outlineLevel="0" collapsed="false">
      <c r="A88" s="41"/>
      <c r="B88" s="42"/>
      <c r="C88" s="42"/>
      <c r="D88" s="42"/>
      <c r="E88" s="43"/>
      <c r="F88" s="43"/>
      <c r="G88" s="41"/>
      <c r="H88" s="42"/>
    </row>
    <row r="89" customFormat="false" ht="15" hidden="false" customHeight="false" outlineLevel="0" collapsed="false">
      <c r="A89" s="41"/>
      <c r="B89" s="42"/>
      <c r="C89" s="42"/>
      <c r="D89" s="42"/>
      <c r="E89" s="43"/>
      <c r="F89" s="43"/>
      <c r="G89" s="41"/>
      <c r="H89" s="42"/>
    </row>
    <row r="90" customFormat="false" ht="15" hidden="false" customHeight="false" outlineLevel="0" collapsed="false">
      <c r="A90" s="41"/>
      <c r="B90" s="42"/>
      <c r="C90" s="42"/>
      <c r="D90" s="42"/>
      <c r="E90" s="43"/>
      <c r="F90" s="43"/>
      <c r="G90" s="41"/>
      <c r="H90" s="42"/>
    </row>
    <row r="91" customFormat="false" ht="15" hidden="false" customHeight="false" outlineLevel="0" collapsed="false">
      <c r="A91" s="41"/>
      <c r="B91" s="42"/>
      <c r="C91" s="42"/>
      <c r="D91" s="42"/>
      <c r="E91" s="43"/>
      <c r="F91" s="43"/>
      <c r="G91" s="41"/>
      <c r="H91" s="42"/>
    </row>
    <row r="92" customFormat="false" ht="15" hidden="false" customHeight="false" outlineLevel="0" collapsed="false">
      <c r="A92" s="41"/>
      <c r="B92" s="42"/>
      <c r="C92" s="42"/>
      <c r="D92" s="42"/>
      <c r="E92" s="43"/>
      <c r="F92" s="43"/>
      <c r="G92" s="41"/>
      <c r="H92" s="42"/>
    </row>
    <row r="93" customFormat="false" ht="15" hidden="false" customHeight="false" outlineLevel="0" collapsed="false">
      <c r="A93" s="41"/>
      <c r="B93" s="42"/>
      <c r="C93" s="42"/>
      <c r="D93" s="42"/>
      <c r="E93" s="43"/>
      <c r="F93" s="43"/>
      <c r="G93" s="41"/>
      <c r="H93" s="42"/>
    </row>
    <row r="94" customFormat="false" ht="15" hidden="false" customHeight="false" outlineLevel="0" collapsed="false">
      <c r="A94" s="41"/>
      <c r="B94" s="42"/>
      <c r="C94" s="42"/>
      <c r="D94" s="42"/>
      <c r="E94" s="43"/>
      <c r="F94" s="43"/>
      <c r="G94" s="41"/>
      <c r="H94" s="42"/>
    </row>
    <row r="95" customFormat="false" ht="15" hidden="false" customHeight="false" outlineLevel="0" collapsed="false">
      <c r="A95" s="41"/>
      <c r="B95" s="42"/>
      <c r="C95" s="42"/>
      <c r="D95" s="42"/>
      <c r="E95" s="43"/>
      <c r="F95" s="43"/>
      <c r="G95" s="41"/>
      <c r="H95" s="42"/>
    </row>
    <row r="96" customFormat="false" ht="15" hidden="false" customHeight="false" outlineLevel="0" collapsed="false">
      <c r="A96" s="41"/>
      <c r="B96" s="42"/>
      <c r="C96" s="42"/>
      <c r="D96" s="42"/>
      <c r="E96" s="43"/>
      <c r="F96" s="43"/>
      <c r="G96" s="41"/>
      <c r="H96" s="42"/>
    </row>
    <row r="97" customFormat="false" ht="15" hidden="false" customHeight="false" outlineLevel="0" collapsed="false">
      <c r="A97" s="41"/>
      <c r="B97" s="42"/>
      <c r="C97" s="42"/>
      <c r="D97" s="42"/>
      <c r="E97" s="43"/>
      <c r="F97" s="43"/>
      <c r="G97" s="41"/>
      <c r="H97" s="42"/>
    </row>
    <row r="98" customFormat="false" ht="15" hidden="false" customHeight="false" outlineLevel="0" collapsed="false">
      <c r="A98" s="41"/>
      <c r="B98" s="42"/>
      <c r="C98" s="42"/>
      <c r="D98" s="42"/>
      <c r="E98" s="43"/>
      <c r="F98" s="43"/>
      <c r="G98" s="41"/>
      <c r="H98" s="42"/>
    </row>
    <row r="99" customFormat="false" ht="15" hidden="false" customHeight="false" outlineLevel="0" collapsed="false">
      <c r="A99" s="41"/>
      <c r="B99" s="42"/>
      <c r="C99" s="42"/>
      <c r="D99" s="42"/>
      <c r="E99" s="43"/>
      <c r="F99" s="43"/>
      <c r="G99" s="41"/>
      <c r="H99" s="42"/>
    </row>
    <row r="100" customFormat="false" ht="15" hidden="false" customHeight="false" outlineLevel="0" collapsed="false">
      <c r="A100" s="41"/>
      <c r="B100" s="42"/>
      <c r="C100" s="42"/>
      <c r="D100" s="42"/>
      <c r="E100" s="43"/>
      <c r="F100" s="43"/>
      <c r="G100" s="41"/>
      <c r="H100" s="42"/>
    </row>
    <row r="101" customFormat="false" ht="15" hidden="false" customHeight="false" outlineLevel="0" collapsed="false">
      <c r="A101" s="41"/>
      <c r="B101" s="42"/>
      <c r="C101" s="42"/>
      <c r="D101" s="42"/>
      <c r="E101" s="43"/>
      <c r="F101" s="43"/>
      <c r="G101" s="41"/>
      <c r="H101" s="42"/>
    </row>
    <row r="102" customFormat="false" ht="15" hidden="false" customHeight="false" outlineLevel="0" collapsed="false">
      <c r="A102" s="41"/>
      <c r="B102" s="42"/>
      <c r="C102" s="42"/>
      <c r="D102" s="42"/>
      <c r="E102" s="43"/>
      <c r="F102" s="43"/>
      <c r="G102" s="41"/>
      <c r="H102" s="42"/>
    </row>
    <row r="103" customFormat="false" ht="15" hidden="false" customHeight="false" outlineLevel="0" collapsed="false">
      <c r="A103" s="41"/>
      <c r="B103" s="42"/>
      <c r="C103" s="42"/>
      <c r="D103" s="42"/>
      <c r="E103" s="43"/>
      <c r="F103" s="43"/>
      <c r="G103" s="41"/>
      <c r="H103" s="42"/>
    </row>
    <row r="104" customFormat="false" ht="15" hidden="false" customHeight="false" outlineLevel="0" collapsed="false">
      <c r="A104" s="41"/>
      <c r="B104" s="42"/>
      <c r="C104" s="42"/>
      <c r="D104" s="42"/>
      <c r="E104" s="43"/>
      <c r="F104" s="43"/>
      <c r="G104" s="41"/>
      <c r="H104" s="42"/>
    </row>
    <row r="105" customFormat="false" ht="15" hidden="false" customHeight="false" outlineLevel="0" collapsed="false">
      <c r="A105" s="41"/>
      <c r="B105" s="42"/>
      <c r="C105" s="42"/>
      <c r="D105" s="42"/>
      <c r="E105" s="43"/>
      <c r="F105" s="43"/>
      <c r="G105" s="41"/>
      <c r="H105" s="42"/>
    </row>
    <row r="106" customFormat="false" ht="15" hidden="false" customHeight="false" outlineLevel="0" collapsed="false">
      <c r="A106" s="41"/>
      <c r="B106" s="42"/>
      <c r="C106" s="42"/>
      <c r="D106" s="42"/>
      <c r="E106" s="43"/>
      <c r="F106" s="43"/>
      <c r="G106" s="41"/>
      <c r="H106" s="42"/>
    </row>
    <row r="107" customFormat="false" ht="15" hidden="false" customHeight="false" outlineLevel="0" collapsed="false">
      <c r="A107" s="41"/>
      <c r="B107" s="42"/>
      <c r="C107" s="42"/>
      <c r="D107" s="42"/>
      <c r="E107" s="43"/>
      <c r="F107" s="43"/>
      <c r="G107" s="41"/>
      <c r="H107" s="42"/>
    </row>
    <row r="108" customFormat="false" ht="15" hidden="false" customHeight="false" outlineLevel="0" collapsed="false">
      <c r="A108" s="41"/>
      <c r="B108" s="42"/>
      <c r="C108" s="42"/>
      <c r="D108" s="42"/>
      <c r="E108" s="43"/>
      <c r="F108" s="43"/>
      <c r="G108" s="41"/>
      <c r="H108" s="42"/>
    </row>
    <row r="109" customFormat="false" ht="15" hidden="false" customHeight="false" outlineLevel="0" collapsed="false">
      <c r="A109" s="41"/>
      <c r="B109" s="42"/>
      <c r="C109" s="42"/>
      <c r="D109" s="42"/>
      <c r="E109" s="43"/>
      <c r="F109" s="43"/>
      <c r="G109" s="41"/>
      <c r="H109" s="42"/>
    </row>
    <row r="110" customFormat="false" ht="15" hidden="false" customHeight="false" outlineLevel="0" collapsed="false">
      <c r="A110" s="41"/>
      <c r="B110" s="42"/>
      <c r="C110" s="42"/>
      <c r="D110" s="42"/>
      <c r="E110" s="43"/>
      <c r="F110" s="43"/>
      <c r="G110" s="41"/>
      <c r="H110" s="42"/>
    </row>
    <row r="111" customFormat="false" ht="15" hidden="false" customHeight="false" outlineLevel="0" collapsed="false">
      <c r="A111" s="41"/>
      <c r="B111" s="42"/>
      <c r="C111" s="42"/>
      <c r="D111" s="42"/>
      <c r="E111" s="43"/>
      <c r="F111" s="43"/>
      <c r="G111" s="41"/>
      <c r="H111" s="42"/>
    </row>
    <row r="112" customFormat="false" ht="15" hidden="false" customHeight="false" outlineLevel="0" collapsed="false">
      <c r="A112" s="41"/>
      <c r="B112" s="42"/>
      <c r="C112" s="42"/>
      <c r="D112" s="42"/>
      <c r="E112" s="43"/>
      <c r="F112" s="43"/>
      <c r="G112" s="41"/>
      <c r="H112" s="42"/>
    </row>
    <row r="113" customFormat="false" ht="15" hidden="false" customHeight="false" outlineLevel="0" collapsed="false">
      <c r="A113" s="41"/>
      <c r="B113" s="42"/>
      <c r="C113" s="42"/>
      <c r="D113" s="42"/>
      <c r="E113" s="43"/>
      <c r="F113" s="43"/>
      <c r="G113" s="41"/>
      <c r="H113" s="42"/>
    </row>
    <row r="114" customFormat="false" ht="15" hidden="false" customHeight="false" outlineLevel="0" collapsed="false">
      <c r="A114" s="41"/>
      <c r="B114" s="42"/>
      <c r="C114" s="42"/>
      <c r="D114" s="42"/>
      <c r="E114" s="43"/>
      <c r="F114" s="43"/>
      <c r="G114" s="41"/>
      <c r="H114" s="42"/>
    </row>
    <row r="115" customFormat="false" ht="15" hidden="false" customHeight="false" outlineLevel="0" collapsed="false">
      <c r="A115" s="41"/>
      <c r="B115" s="42"/>
      <c r="C115" s="42"/>
      <c r="D115" s="42"/>
      <c r="E115" s="43"/>
      <c r="F115" s="43"/>
      <c r="G115" s="41"/>
      <c r="H115" s="42"/>
    </row>
    <row r="116" customFormat="false" ht="15" hidden="false" customHeight="false" outlineLevel="0" collapsed="false">
      <c r="A116" s="41"/>
      <c r="B116" s="42"/>
      <c r="C116" s="42"/>
      <c r="D116" s="42"/>
      <c r="E116" s="43"/>
      <c r="F116" s="43"/>
      <c r="G116" s="41"/>
      <c r="H116" s="42"/>
    </row>
    <row r="117" customFormat="false" ht="15" hidden="false" customHeight="false" outlineLevel="0" collapsed="false">
      <c r="A117" s="41"/>
      <c r="B117" s="42"/>
      <c r="C117" s="42"/>
      <c r="D117" s="42"/>
      <c r="E117" s="43"/>
      <c r="F117" s="43"/>
      <c r="G117" s="41"/>
      <c r="H117" s="42"/>
    </row>
    <row r="118" customFormat="false" ht="15" hidden="false" customHeight="false" outlineLevel="0" collapsed="false">
      <c r="A118" s="41"/>
      <c r="B118" s="42"/>
      <c r="C118" s="42"/>
      <c r="D118" s="42"/>
      <c r="E118" s="43"/>
      <c r="F118" s="43"/>
      <c r="G118" s="41"/>
      <c r="H118" s="42"/>
    </row>
    <row r="119" customFormat="false" ht="15" hidden="false" customHeight="false" outlineLevel="0" collapsed="false">
      <c r="A119" s="41"/>
      <c r="B119" s="42"/>
      <c r="C119" s="42"/>
      <c r="D119" s="42"/>
      <c r="E119" s="43"/>
      <c r="F119" s="43"/>
      <c r="G119" s="41"/>
      <c r="H119" s="42"/>
    </row>
    <row r="120" customFormat="false" ht="15" hidden="false" customHeight="false" outlineLevel="0" collapsed="false">
      <c r="A120" s="41"/>
      <c r="B120" s="42"/>
      <c r="C120" s="42"/>
      <c r="D120" s="42"/>
      <c r="E120" s="43"/>
      <c r="F120" s="43"/>
      <c r="G120" s="41"/>
      <c r="H120" s="42"/>
    </row>
    <row r="121" customFormat="false" ht="15" hidden="false" customHeight="false" outlineLevel="0" collapsed="false">
      <c r="A121" s="41"/>
      <c r="B121" s="42"/>
      <c r="C121" s="42"/>
      <c r="D121" s="42"/>
      <c r="E121" s="43"/>
      <c r="F121" s="43"/>
      <c r="G121" s="41"/>
      <c r="H121" s="42"/>
    </row>
    <row r="122" customFormat="false" ht="15" hidden="false" customHeight="false" outlineLevel="0" collapsed="false">
      <c r="A122" s="41"/>
      <c r="B122" s="42"/>
      <c r="C122" s="42"/>
      <c r="D122" s="42"/>
      <c r="E122" s="43"/>
      <c r="F122" s="43"/>
      <c r="G122" s="41"/>
      <c r="H122" s="42"/>
    </row>
    <row r="123" customFormat="false" ht="15" hidden="false" customHeight="false" outlineLevel="0" collapsed="false">
      <c r="A123" s="41"/>
      <c r="B123" s="42"/>
      <c r="C123" s="42"/>
      <c r="D123" s="42"/>
      <c r="E123" s="43"/>
      <c r="F123" s="43"/>
      <c r="G123" s="41"/>
      <c r="H123" s="42"/>
    </row>
    <row r="124" customFormat="false" ht="15" hidden="false" customHeight="false" outlineLevel="0" collapsed="false">
      <c r="A124" s="41"/>
      <c r="B124" s="42"/>
      <c r="C124" s="42"/>
      <c r="D124" s="42"/>
      <c r="E124" s="43"/>
      <c r="F124" s="43"/>
      <c r="G124" s="41"/>
      <c r="H124" s="42"/>
    </row>
    <row r="125" customFormat="false" ht="15" hidden="false" customHeight="false" outlineLevel="0" collapsed="false">
      <c r="A125" s="41"/>
      <c r="B125" s="42"/>
      <c r="C125" s="42"/>
      <c r="D125" s="42"/>
      <c r="E125" s="43"/>
      <c r="F125" s="43"/>
      <c r="G125" s="41"/>
      <c r="H125" s="42"/>
    </row>
    <row r="126" customFormat="false" ht="15" hidden="false" customHeight="false" outlineLevel="0" collapsed="false">
      <c r="A126" s="41"/>
      <c r="B126" s="42"/>
      <c r="C126" s="42"/>
      <c r="D126" s="42"/>
      <c r="E126" s="43"/>
      <c r="F126" s="43"/>
      <c r="G126" s="41"/>
      <c r="H126" s="42"/>
    </row>
    <row r="127" customFormat="false" ht="15" hidden="false" customHeight="false" outlineLevel="0" collapsed="false">
      <c r="A127" s="41"/>
      <c r="B127" s="42"/>
      <c r="C127" s="42"/>
      <c r="D127" s="42"/>
      <c r="E127" s="43"/>
      <c r="F127" s="43"/>
      <c r="G127" s="41"/>
      <c r="H127" s="42"/>
    </row>
    <row r="128" customFormat="false" ht="15" hidden="false" customHeight="false" outlineLevel="0" collapsed="false">
      <c r="A128" s="41"/>
      <c r="B128" s="42"/>
      <c r="C128" s="42"/>
      <c r="D128" s="42"/>
      <c r="E128" s="43"/>
      <c r="F128" s="43"/>
      <c r="G128" s="41"/>
      <c r="H128" s="42"/>
    </row>
    <row r="129" customFormat="false" ht="15" hidden="false" customHeight="false" outlineLevel="0" collapsed="false">
      <c r="A129" s="41"/>
      <c r="B129" s="42"/>
      <c r="C129" s="42"/>
      <c r="D129" s="42"/>
      <c r="E129" s="43"/>
      <c r="F129" s="43"/>
      <c r="G129" s="41"/>
      <c r="H129" s="42"/>
    </row>
    <row r="130" customFormat="false" ht="15" hidden="false" customHeight="false" outlineLevel="0" collapsed="false">
      <c r="A130" s="41"/>
      <c r="B130" s="42"/>
      <c r="C130" s="42"/>
      <c r="D130" s="42"/>
      <c r="E130" s="43"/>
      <c r="F130" s="43"/>
      <c r="G130" s="41"/>
      <c r="H130" s="42"/>
    </row>
    <row r="131" customFormat="false" ht="15" hidden="false" customHeight="false" outlineLevel="0" collapsed="false">
      <c r="A131" s="41"/>
      <c r="B131" s="42"/>
      <c r="C131" s="42"/>
      <c r="D131" s="42"/>
      <c r="E131" s="43"/>
      <c r="F131" s="43"/>
      <c r="G131" s="41"/>
      <c r="H131" s="42"/>
    </row>
    <row r="132" customFormat="false" ht="15" hidden="false" customHeight="false" outlineLevel="0" collapsed="false">
      <c r="A132" s="41"/>
      <c r="B132" s="42"/>
      <c r="C132" s="42"/>
      <c r="D132" s="42"/>
      <c r="E132" s="43"/>
      <c r="F132" s="43"/>
      <c r="G132" s="41"/>
      <c r="H132" s="42"/>
    </row>
    <row r="133" customFormat="false" ht="15" hidden="false" customHeight="false" outlineLevel="0" collapsed="false">
      <c r="A133" s="41"/>
      <c r="B133" s="42"/>
      <c r="C133" s="42"/>
      <c r="D133" s="42"/>
      <c r="E133" s="43"/>
      <c r="F133" s="43"/>
      <c r="G133" s="41"/>
      <c r="H133" s="42"/>
    </row>
    <row r="134" customFormat="false" ht="15" hidden="false" customHeight="false" outlineLevel="0" collapsed="false">
      <c r="A134" s="41"/>
      <c r="B134" s="42"/>
      <c r="C134" s="42"/>
      <c r="D134" s="42"/>
      <c r="E134" s="43"/>
      <c r="F134" s="43"/>
      <c r="G134" s="41"/>
      <c r="H134" s="42"/>
    </row>
    <row r="135" customFormat="false" ht="15" hidden="false" customHeight="false" outlineLevel="0" collapsed="false">
      <c r="A135" s="41"/>
      <c r="B135" s="42"/>
      <c r="C135" s="42"/>
      <c r="D135" s="42"/>
      <c r="E135" s="43"/>
      <c r="F135" s="43"/>
      <c r="G135" s="41"/>
      <c r="H135" s="42"/>
    </row>
    <row r="136" customFormat="false" ht="15" hidden="false" customHeight="false" outlineLevel="0" collapsed="false">
      <c r="A136" s="41"/>
      <c r="B136" s="42"/>
      <c r="C136" s="42"/>
      <c r="D136" s="42"/>
      <c r="E136" s="43"/>
      <c r="F136" s="43"/>
      <c r="G136" s="41"/>
      <c r="H136" s="42"/>
    </row>
    <row r="137" customFormat="false" ht="15" hidden="false" customHeight="false" outlineLevel="0" collapsed="false">
      <c r="A137" s="41"/>
      <c r="B137" s="42"/>
      <c r="C137" s="42"/>
      <c r="D137" s="42"/>
      <c r="E137" s="43"/>
      <c r="F137" s="43"/>
      <c r="G137" s="41"/>
      <c r="H137" s="42"/>
    </row>
    <row r="138" customFormat="false" ht="15" hidden="false" customHeight="false" outlineLevel="0" collapsed="false">
      <c r="A138" s="41"/>
      <c r="B138" s="42"/>
      <c r="C138" s="42"/>
      <c r="D138" s="42"/>
      <c r="E138" s="43"/>
      <c r="F138" s="43"/>
      <c r="G138" s="41"/>
      <c r="H138" s="42"/>
    </row>
    <row r="139" customFormat="false" ht="15" hidden="false" customHeight="false" outlineLevel="0" collapsed="false">
      <c r="A139" s="41"/>
      <c r="B139" s="42"/>
      <c r="C139" s="42"/>
      <c r="D139" s="42"/>
      <c r="E139" s="43"/>
      <c r="F139" s="43"/>
      <c r="G139" s="41"/>
      <c r="H139" s="42"/>
    </row>
    <row r="140" customFormat="false" ht="15" hidden="false" customHeight="false" outlineLevel="0" collapsed="false">
      <c r="A140" s="41"/>
      <c r="B140" s="42"/>
      <c r="C140" s="42"/>
      <c r="D140" s="42"/>
      <c r="E140" s="43"/>
      <c r="F140" s="43"/>
      <c r="G140" s="41"/>
      <c r="H140" s="42"/>
    </row>
    <row r="141" customFormat="false" ht="15" hidden="false" customHeight="false" outlineLevel="0" collapsed="false">
      <c r="A141" s="41"/>
      <c r="B141" s="42"/>
      <c r="C141" s="42"/>
      <c r="D141" s="42"/>
      <c r="E141" s="43"/>
      <c r="F141" s="43"/>
      <c r="G141" s="41"/>
      <c r="H141" s="42"/>
    </row>
    <row r="142" customFormat="false" ht="15" hidden="false" customHeight="false" outlineLevel="0" collapsed="false">
      <c r="A142" s="41"/>
      <c r="B142" s="42"/>
      <c r="C142" s="42"/>
      <c r="D142" s="42"/>
      <c r="E142" s="43"/>
      <c r="F142" s="43"/>
      <c r="G142" s="41"/>
      <c r="H142" s="42"/>
    </row>
    <row r="143" customFormat="false" ht="15" hidden="false" customHeight="false" outlineLevel="0" collapsed="false">
      <c r="A143" s="41"/>
      <c r="B143" s="42"/>
      <c r="C143" s="42"/>
      <c r="D143" s="42"/>
      <c r="E143" s="43"/>
      <c r="F143" s="43"/>
      <c r="G143" s="41"/>
      <c r="H143" s="42"/>
    </row>
    <row r="144" customFormat="false" ht="15" hidden="false" customHeight="false" outlineLevel="0" collapsed="false">
      <c r="A144" s="41"/>
      <c r="B144" s="42"/>
      <c r="C144" s="42"/>
      <c r="D144" s="42"/>
      <c r="E144" s="43"/>
      <c r="F144" s="43"/>
      <c r="G144" s="41"/>
      <c r="H144" s="42"/>
    </row>
    <row r="145" customFormat="false" ht="15" hidden="false" customHeight="false" outlineLevel="0" collapsed="false">
      <c r="A145" s="41"/>
      <c r="B145" s="42"/>
      <c r="C145" s="42"/>
      <c r="D145" s="42"/>
      <c r="E145" s="43"/>
      <c r="F145" s="43"/>
      <c r="G145" s="41"/>
      <c r="H145" s="42"/>
    </row>
    <row r="146" customFormat="false" ht="15" hidden="false" customHeight="false" outlineLevel="0" collapsed="false">
      <c r="A146" s="41"/>
      <c r="B146" s="42"/>
      <c r="C146" s="42"/>
      <c r="D146" s="42"/>
      <c r="E146" s="43"/>
      <c r="F146" s="43"/>
      <c r="G146" s="41"/>
      <c r="H146" s="42"/>
    </row>
    <row r="147" customFormat="false" ht="15" hidden="false" customHeight="false" outlineLevel="0" collapsed="false">
      <c r="A147" s="41"/>
      <c r="B147" s="42"/>
      <c r="C147" s="42"/>
      <c r="D147" s="42"/>
      <c r="E147" s="43"/>
      <c r="F147" s="43"/>
      <c r="G147" s="41"/>
      <c r="H147" s="42"/>
    </row>
    <row r="148" customFormat="false" ht="15" hidden="false" customHeight="false" outlineLevel="0" collapsed="false">
      <c r="A148" s="41"/>
      <c r="B148" s="42"/>
      <c r="C148" s="42"/>
      <c r="D148" s="42"/>
      <c r="E148" s="43"/>
      <c r="F148" s="43"/>
      <c r="G148" s="41"/>
      <c r="H148" s="42"/>
    </row>
    <row r="149" customFormat="false" ht="15" hidden="false" customHeight="false" outlineLevel="0" collapsed="false">
      <c r="A149" s="41"/>
      <c r="B149" s="42"/>
      <c r="C149" s="42"/>
      <c r="D149" s="42"/>
      <c r="E149" s="43"/>
      <c r="F149" s="43"/>
      <c r="G149" s="41"/>
      <c r="H149" s="42"/>
    </row>
    <row r="150" customFormat="false" ht="15" hidden="false" customHeight="false" outlineLevel="0" collapsed="false">
      <c r="A150" s="41"/>
      <c r="B150" s="42"/>
      <c r="C150" s="42"/>
      <c r="D150" s="42"/>
      <c r="E150" s="43"/>
      <c r="F150" s="43"/>
      <c r="G150" s="41"/>
      <c r="H150" s="42"/>
    </row>
    <row r="151" customFormat="false" ht="15" hidden="false" customHeight="false" outlineLevel="0" collapsed="false">
      <c r="A151" s="41"/>
      <c r="B151" s="42"/>
      <c r="C151" s="42"/>
      <c r="D151" s="42"/>
      <c r="E151" s="43"/>
      <c r="F151" s="43"/>
      <c r="G151" s="41"/>
      <c r="H151" s="42"/>
    </row>
    <row r="152" customFormat="false" ht="15" hidden="false" customHeight="false" outlineLevel="0" collapsed="false">
      <c r="A152" s="41"/>
      <c r="B152" s="42"/>
      <c r="C152" s="42"/>
      <c r="D152" s="42"/>
      <c r="E152" s="43"/>
      <c r="F152" s="43"/>
      <c r="G152" s="41"/>
      <c r="H152" s="42"/>
    </row>
    <row r="153" customFormat="false" ht="15" hidden="false" customHeight="false" outlineLevel="0" collapsed="false">
      <c r="A153" s="41"/>
      <c r="B153" s="42"/>
      <c r="C153" s="42"/>
      <c r="D153" s="42"/>
      <c r="E153" s="43"/>
      <c r="F153" s="43"/>
      <c r="G153" s="41"/>
      <c r="H153" s="42"/>
    </row>
    <row r="154" customFormat="false" ht="15" hidden="false" customHeight="false" outlineLevel="0" collapsed="false">
      <c r="A154" s="41"/>
      <c r="B154" s="42"/>
      <c r="C154" s="42"/>
      <c r="D154" s="42"/>
      <c r="E154" s="43"/>
      <c r="F154" s="43"/>
      <c r="G154" s="41"/>
      <c r="H154" s="42"/>
    </row>
    <row r="155" customFormat="false" ht="15" hidden="false" customHeight="false" outlineLevel="0" collapsed="false">
      <c r="A155" s="41"/>
      <c r="B155" s="42"/>
      <c r="C155" s="42"/>
      <c r="D155" s="42"/>
      <c r="E155" s="43"/>
      <c r="F155" s="43"/>
      <c r="G155" s="41"/>
      <c r="H155" s="42"/>
    </row>
    <row r="156" customFormat="false" ht="15" hidden="false" customHeight="false" outlineLevel="0" collapsed="false">
      <c r="A156" s="41"/>
      <c r="B156" s="42"/>
      <c r="C156" s="42"/>
      <c r="D156" s="42"/>
      <c r="E156" s="43"/>
      <c r="F156" s="43"/>
      <c r="G156" s="41"/>
      <c r="H156" s="42"/>
    </row>
    <row r="157" customFormat="false" ht="15" hidden="false" customHeight="false" outlineLevel="0" collapsed="false">
      <c r="A157" s="41"/>
      <c r="B157" s="42"/>
      <c r="C157" s="42"/>
      <c r="D157" s="42"/>
      <c r="E157" s="43"/>
      <c r="F157" s="43"/>
      <c r="G157" s="41"/>
      <c r="H157" s="42"/>
    </row>
    <row r="158" customFormat="false" ht="15" hidden="false" customHeight="false" outlineLevel="0" collapsed="false">
      <c r="A158" s="41"/>
      <c r="B158" s="42"/>
      <c r="C158" s="42"/>
      <c r="D158" s="42"/>
      <c r="E158" s="43"/>
      <c r="F158" s="43"/>
      <c r="G158" s="41"/>
      <c r="H158" s="42"/>
    </row>
    <row r="159" customFormat="false" ht="15" hidden="false" customHeight="false" outlineLevel="0" collapsed="false">
      <c r="A159" s="41"/>
      <c r="B159" s="42"/>
      <c r="C159" s="42"/>
      <c r="D159" s="42"/>
      <c r="E159" s="43"/>
      <c r="F159" s="43"/>
      <c r="G159" s="41"/>
      <c r="H159" s="42"/>
    </row>
    <row r="160" customFormat="false" ht="15" hidden="false" customHeight="false" outlineLevel="0" collapsed="false">
      <c r="A160" s="41"/>
      <c r="B160" s="42"/>
      <c r="C160" s="42"/>
      <c r="D160" s="42"/>
      <c r="E160" s="43"/>
      <c r="F160" s="43"/>
      <c r="G160" s="41"/>
      <c r="H160" s="42"/>
    </row>
    <row r="161" customFormat="false" ht="15" hidden="false" customHeight="false" outlineLevel="0" collapsed="false">
      <c r="A161" s="41"/>
      <c r="B161" s="42"/>
      <c r="C161" s="42"/>
      <c r="D161" s="42"/>
      <c r="E161" s="43"/>
      <c r="F161" s="43"/>
      <c r="G161" s="41"/>
      <c r="H161" s="42"/>
    </row>
    <row r="162" customFormat="false" ht="15" hidden="false" customHeight="false" outlineLevel="0" collapsed="false">
      <c r="A162" s="41"/>
      <c r="B162" s="42"/>
      <c r="C162" s="42"/>
      <c r="D162" s="42"/>
      <c r="E162" s="43"/>
      <c r="F162" s="43"/>
      <c r="G162" s="41"/>
      <c r="H162" s="42"/>
    </row>
    <row r="163" customFormat="false" ht="15" hidden="false" customHeight="false" outlineLevel="0" collapsed="false">
      <c r="A163" s="41"/>
      <c r="B163" s="42"/>
      <c r="C163" s="42"/>
      <c r="D163" s="42"/>
      <c r="E163" s="43"/>
      <c r="F163" s="43"/>
      <c r="G163" s="41"/>
      <c r="H163" s="42"/>
    </row>
    <row r="164" customFormat="false" ht="15" hidden="false" customHeight="false" outlineLevel="0" collapsed="false">
      <c r="A164" s="41"/>
      <c r="B164" s="42"/>
      <c r="C164" s="42"/>
      <c r="D164" s="42"/>
      <c r="E164" s="43"/>
      <c r="F164" s="43"/>
      <c r="G164" s="41"/>
      <c r="H164" s="42"/>
    </row>
    <row r="165" customFormat="false" ht="15" hidden="false" customHeight="false" outlineLevel="0" collapsed="false">
      <c r="A165" s="41"/>
      <c r="B165" s="42"/>
      <c r="C165" s="42"/>
      <c r="D165" s="42"/>
      <c r="E165" s="43"/>
      <c r="F165" s="43"/>
      <c r="G165" s="41"/>
      <c r="H165" s="42"/>
    </row>
    <row r="166" customFormat="false" ht="15" hidden="false" customHeight="false" outlineLevel="0" collapsed="false">
      <c r="A166" s="41"/>
      <c r="B166" s="42"/>
      <c r="C166" s="42"/>
      <c r="D166" s="42"/>
      <c r="E166" s="43"/>
      <c r="F166" s="43"/>
      <c r="G166" s="41"/>
      <c r="H166" s="42"/>
    </row>
    <row r="167" customFormat="false" ht="15" hidden="false" customHeight="false" outlineLevel="0" collapsed="false">
      <c r="A167" s="41"/>
      <c r="B167" s="42"/>
      <c r="C167" s="42"/>
      <c r="D167" s="42"/>
      <c r="E167" s="43"/>
      <c r="F167" s="43"/>
      <c r="G167" s="41"/>
      <c r="H167" s="42"/>
    </row>
    <row r="168" customFormat="false" ht="15" hidden="false" customHeight="false" outlineLevel="0" collapsed="false">
      <c r="A168" s="41"/>
      <c r="B168" s="42"/>
      <c r="C168" s="42"/>
      <c r="D168" s="42"/>
      <c r="E168" s="43"/>
      <c r="F168" s="43"/>
      <c r="G168" s="41"/>
      <c r="H168" s="42"/>
    </row>
    <row r="169" customFormat="false" ht="15" hidden="false" customHeight="false" outlineLevel="0" collapsed="false">
      <c r="A169" s="41"/>
      <c r="B169" s="42"/>
      <c r="C169" s="42"/>
      <c r="D169" s="42"/>
      <c r="E169" s="43"/>
      <c r="F169" s="43"/>
      <c r="G169" s="41"/>
      <c r="H169" s="42"/>
    </row>
    <row r="170" customFormat="false" ht="15" hidden="false" customHeight="false" outlineLevel="0" collapsed="false">
      <c r="A170" s="41"/>
      <c r="B170" s="42"/>
      <c r="C170" s="42"/>
      <c r="D170" s="42"/>
      <c r="E170" s="43"/>
      <c r="F170" s="43"/>
      <c r="G170" s="41"/>
      <c r="H170" s="42"/>
    </row>
    <row r="171" customFormat="false" ht="15" hidden="false" customHeight="false" outlineLevel="0" collapsed="false">
      <c r="A171" s="41"/>
      <c r="B171" s="42"/>
      <c r="C171" s="42"/>
      <c r="D171" s="42"/>
      <c r="E171" s="43"/>
      <c r="F171" s="43"/>
      <c r="G171" s="41"/>
      <c r="H171" s="42"/>
    </row>
    <row r="172" customFormat="false" ht="15" hidden="false" customHeight="false" outlineLevel="0" collapsed="false">
      <c r="A172" s="41"/>
      <c r="B172" s="42"/>
      <c r="C172" s="42"/>
      <c r="D172" s="42"/>
      <c r="E172" s="43"/>
      <c r="F172" s="43"/>
      <c r="G172" s="41"/>
      <c r="H172" s="42"/>
    </row>
    <row r="173" customFormat="false" ht="15" hidden="false" customHeight="false" outlineLevel="0" collapsed="false">
      <c r="A173" s="41"/>
      <c r="B173" s="42"/>
      <c r="C173" s="42"/>
      <c r="D173" s="42"/>
      <c r="E173" s="43"/>
      <c r="F173" s="43"/>
      <c r="G173" s="41"/>
      <c r="H173" s="42"/>
    </row>
    <row r="174" customFormat="false" ht="15" hidden="false" customHeight="false" outlineLevel="0" collapsed="false">
      <c r="A174" s="41"/>
      <c r="B174" s="42"/>
      <c r="C174" s="42"/>
      <c r="D174" s="42"/>
      <c r="E174" s="43"/>
      <c r="F174" s="43"/>
      <c r="G174" s="41"/>
      <c r="H174" s="42"/>
    </row>
    <row r="175" customFormat="false" ht="15" hidden="false" customHeight="false" outlineLevel="0" collapsed="false">
      <c r="A175" s="41"/>
      <c r="B175" s="42"/>
      <c r="C175" s="42"/>
      <c r="D175" s="42"/>
      <c r="E175" s="43"/>
      <c r="F175" s="43"/>
      <c r="G175" s="41"/>
      <c r="H175" s="42"/>
    </row>
    <row r="176" customFormat="false" ht="15" hidden="false" customHeight="false" outlineLevel="0" collapsed="false">
      <c r="A176" s="41"/>
      <c r="B176" s="42"/>
      <c r="C176" s="42"/>
      <c r="D176" s="42"/>
      <c r="E176" s="43"/>
      <c r="F176" s="43"/>
      <c r="G176" s="41"/>
      <c r="H176" s="42"/>
    </row>
    <row r="177" customFormat="false" ht="15" hidden="false" customHeight="false" outlineLevel="0" collapsed="false">
      <c r="A177" s="41"/>
      <c r="B177" s="42"/>
      <c r="C177" s="42"/>
      <c r="D177" s="42"/>
      <c r="E177" s="43"/>
      <c r="F177" s="43"/>
      <c r="G177" s="41"/>
      <c r="H177" s="42"/>
    </row>
    <row r="178" customFormat="false" ht="15" hidden="false" customHeight="false" outlineLevel="0" collapsed="false">
      <c r="A178" s="41"/>
      <c r="B178" s="42"/>
      <c r="C178" s="42"/>
      <c r="D178" s="42"/>
      <c r="E178" s="43"/>
      <c r="F178" s="43"/>
      <c r="G178" s="41"/>
      <c r="H178" s="42"/>
    </row>
    <row r="179" customFormat="false" ht="15" hidden="false" customHeight="false" outlineLevel="0" collapsed="false">
      <c r="A179" s="41"/>
      <c r="B179" s="42"/>
      <c r="C179" s="42"/>
      <c r="D179" s="42"/>
      <c r="E179" s="43"/>
      <c r="F179" s="43"/>
      <c r="G179" s="41"/>
      <c r="H179" s="42"/>
    </row>
    <row r="180" customFormat="false" ht="15" hidden="false" customHeight="false" outlineLevel="0" collapsed="false">
      <c r="A180" s="41"/>
      <c r="B180" s="42"/>
      <c r="C180" s="42"/>
      <c r="D180" s="42"/>
      <c r="E180" s="43"/>
      <c r="F180" s="43"/>
      <c r="G180" s="41"/>
      <c r="H180" s="42"/>
    </row>
    <row r="181" customFormat="false" ht="15" hidden="false" customHeight="false" outlineLevel="0" collapsed="false">
      <c r="A181" s="41"/>
      <c r="B181" s="42"/>
      <c r="C181" s="42"/>
      <c r="D181" s="42"/>
      <c r="E181" s="43"/>
      <c r="F181" s="43"/>
      <c r="G181" s="41"/>
      <c r="H181" s="42"/>
    </row>
    <row r="182" customFormat="false" ht="15" hidden="false" customHeight="false" outlineLevel="0" collapsed="false">
      <c r="A182" s="41"/>
      <c r="B182" s="42"/>
      <c r="C182" s="42"/>
      <c r="D182" s="42"/>
      <c r="E182" s="43"/>
      <c r="F182" s="43"/>
      <c r="G182" s="41"/>
      <c r="H182" s="42"/>
    </row>
    <row r="183" customFormat="false" ht="15" hidden="false" customHeight="false" outlineLevel="0" collapsed="false">
      <c r="A183" s="41"/>
      <c r="B183" s="42"/>
      <c r="C183" s="42"/>
      <c r="D183" s="42"/>
      <c r="E183" s="43"/>
      <c r="F183" s="43"/>
      <c r="G183" s="41"/>
      <c r="H183" s="42"/>
    </row>
    <row r="184" customFormat="false" ht="15" hidden="false" customHeight="false" outlineLevel="0" collapsed="false">
      <c r="A184" s="41"/>
      <c r="B184" s="42"/>
      <c r="C184" s="42"/>
      <c r="D184" s="42"/>
      <c r="E184" s="43"/>
      <c r="F184" s="43"/>
      <c r="G184" s="41"/>
      <c r="H184" s="42"/>
    </row>
    <row r="185" customFormat="false" ht="15" hidden="false" customHeight="false" outlineLevel="0" collapsed="false">
      <c r="A185" s="41"/>
      <c r="B185" s="42"/>
      <c r="C185" s="42"/>
      <c r="D185" s="42"/>
      <c r="E185" s="43"/>
      <c r="F185" s="43"/>
      <c r="G185" s="41"/>
      <c r="H185" s="42"/>
    </row>
    <row r="186" customFormat="false" ht="15" hidden="false" customHeight="false" outlineLevel="0" collapsed="false">
      <c r="A186" s="41"/>
      <c r="B186" s="42"/>
      <c r="C186" s="42"/>
      <c r="D186" s="42"/>
      <c r="E186" s="43"/>
      <c r="F186" s="43"/>
      <c r="G186" s="41"/>
      <c r="H186" s="42"/>
    </row>
    <row r="187" customFormat="false" ht="15" hidden="false" customHeight="false" outlineLevel="0" collapsed="false">
      <c r="A187" s="41"/>
      <c r="B187" s="42"/>
      <c r="C187" s="42"/>
      <c r="D187" s="42"/>
      <c r="E187" s="43"/>
      <c r="F187" s="43"/>
      <c r="G187" s="41"/>
      <c r="H187" s="42"/>
    </row>
    <row r="188" customFormat="false" ht="15" hidden="false" customHeight="false" outlineLevel="0" collapsed="false">
      <c r="A188" s="41"/>
      <c r="B188" s="42"/>
      <c r="C188" s="42"/>
      <c r="D188" s="42"/>
      <c r="E188" s="43"/>
      <c r="F188" s="43"/>
      <c r="G188" s="41"/>
      <c r="H188" s="42"/>
    </row>
    <row r="189" customFormat="false" ht="15" hidden="false" customHeight="false" outlineLevel="0" collapsed="false">
      <c r="A189" s="41"/>
      <c r="B189" s="42"/>
      <c r="C189" s="42"/>
      <c r="D189" s="42"/>
      <c r="E189" s="43"/>
      <c r="F189" s="43"/>
      <c r="G189" s="41"/>
      <c r="H189" s="42"/>
    </row>
    <row r="190" customFormat="false" ht="15" hidden="false" customHeight="false" outlineLevel="0" collapsed="false">
      <c r="A190" s="41"/>
      <c r="B190" s="42"/>
      <c r="C190" s="42"/>
      <c r="D190" s="42"/>
      <c r="E190" s="43"/>
      <c r="F190" s="43"/>
      <c r="G190" s="41"/>
      <c r="H190" s="42"/>
    </row>
    <row r="191" customFormat="false" ht="15" hidden="false" customHeight="false" outlineLevel="0" collapsed="false">
      <c r="A191" s="41"/>
      <c r="B191" s="42"/>
      <c r="C191" s="42"/>
      <c r="D191" s="42"/>
      <c r="E191" s="43"/>
      <c r="F191" s="43"/>
      <c r="G191" s="41"/>
      <c r="H191" s="42"/>
    </row>
    <row r="192" customFormat="false" ht="15" hidden="false" customHeight="false" outlineLevel="0" collapsed="false">
      <c r="A192" s="41"/>
      <c r="B192" s="42"/>
      <c r="C192" s="42"/>
      <c r="D192" s="42"/>
      <c r="E192" s="43"/>
      <c r="F192" s="43"/>
      <c r="G192" s="41"/>
      <c r="H192" s="42"/>
    </row>
    <row r="193" customFormat="false" ht="15" hidden="false" customHeight="false" outlineLevel="0" collapsed="false">
      <c r="A193" s="41"/>
      <c r="B193" s="42"/>
      <c r="C193" s="42"/>
      <c r="D193" s="42"/>
      <c r="E193" s="43"/>
      <c r="F193" s="43"/>
      <c r="G193" s="41"/>
      <c r="H193" s="42"/>
    </row>
    <row r="194" customFormat="false" ht="15" hidden="false" customHeight="false" outlineLevel="0" collapsed="false">
      <c r="A194" s="41"/>
      <c r="B194" s="42"/>
      <c r="C194" s="42"/>
      <c r="D194" s="42"/>
      <c r="E194" s="43"/>
      <c r="F194" s="43"/>
      <c r="G194" s="41"/>
      <c r="H194" s="42"/>
    </row>
    <row r="195" customFormat="false" ht="15" hidden="false" customHeight="false" outlineLevel="0" collapsed="false">
      <c r="A195" s="41"/>
      <c r="B195" s="42"/>
      <c r="C195" s="42"/>
      <c r="D195" s="42"/>
      <c r="E195" s="43"/>
      <c r="F195" s="43"/>
      <c r="G195" s="41"/>
      <c r="H195" s="42"/>
    </row>
    <row r="196" customFormat="false" ht="15" hidden="false" customHeight="false" outlineLevel="0" collapsed="false">
      <c r="A196" s="41"/>
      <c r="B196" s="42"/>
      <c r="C196" s="42"/>
      <c r="D196" s="42"/>
      <c r="E196" s="43"/>
      <c r="F196" s="43"/>
      <c r="G196" s="41"/>
      <c r="H196" s="42"/>
    </row>
    <row r="197" customFormat="false" ht="15" hidden="false" customHeight="false" outlineLevel="0" collapsed="false">
      <c r="A197" s="41"/>
      <c r="B197" s="42"/>
      <c r="C197" s="42"/>
      <c r="D197" s="42"/>
      <c r="E197" s="43"/>
      <c r="F197" s="43"/>
      <c r="G197" s="41"/>
      <c r="H197" s="42"/>
    </row>
    <row r="198" customFormat="false" ht="15" hidden="false" customHeight="false" outlineLevel="0" collapsed="false">
      <c r="A198" s="41"/>
      <c r="B198" s="42"/>
      <c r="C198" s="42"/>
      <c r="D198" s="42"/>
      <c r="E198" s="43"/>
      <c r="F198" s="43"/>
      <c r="G198" s="41"/>
      <c r="H198" s="42"/>
    </row>
    <row r="199" customFormat="false" ht="15" hidden="false" customHeight="false" outlineLevel="0" collapsed="false">
      <c r="A199" s="41"/>
      <c r="B199" s="42"/>
      <c r="C199" s="42"/>
      <c r="D199" s="42"/>
      <c r="E199" s="43"/>
      <c r="F199" s="43"/>
      <c r="G199" s="41"/>
      <c r="H199" s="4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F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141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142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2" t="s">
        <v>143</v>
      </c>
      <c r="B4" s="12" t="s">
        <v>144</v>
      </c>
      <c r="C4" s="12" t="s">
        <v>145</v>
      </c>
      <c r="D4" s="12" t="s">
        <v>146</v>
      </c>
      <c r="E4" s="12" t="s">
        <v>147</v>
      </c>
      <c r="F4" s="12" t="s">
        <v>87</v>
      </c>
    </row>
    <row r="5" customFormat="false" ht="15" hidden="false" customHeight="false" outlineLevel="0" collapsed="false">
      <c r="A5" s="41"/>
      <c r="B5" s="42"/>
      <c r="C5" s="42"/>
      <c r="D5" s="43"/>
      <c r="E5" s="42"/>
      <c r="F5" s="42"/>
    </row>
    <row r="6" customFormat="false" ht="15" hidden="false" customHeight="false" outlineLevel="0" collapsed="false">
      <c r="A6" s="41"/>
      <c r="B6" s="42"/>
      <c r="C6" s="42"/>
      <c r="D6" s="43"/>
      <c r="E6" s="42"/>
      <c r="F6" s="42"/>
    </row>
    <row r="7" customFormat="false" ht="15" hidden="false" customHeight="false" outlineLevel="0" collapsed="false">
      <c r="A7" s="41"/>
      <c r="B7" s="42"/>
      <c r="C7" s="42"/>
      <c r="D7" s="43"/>
      <c r="E7" s="42"/>
      <c r="F7" s="42"/>
    </row>
    <row r="8" customFormat="false" ht="15" hidden="false" customHeight="false" outlineLevel="0" collapsed="false">
      <c r="A8" s="41"/>
      <c r="B8" s="42"/>
      <c r="C8" s="42"/>
      <c r="D8" s="43"/>
      <c r="E8" s="42"/>
      <c r="F8" s="42"/>
    </row>
    <row r="9" customFormat="false" ht="15" hidden="false" customHeight="false" outlineLevel="0" collapsed="false">
      <c r="A9" s="41"/>
      <c r="B9" s="42"/>
      <c r="C9" s="42"/>
      <c r="D9" s="43"/>
      <c r="E9" s="42"/>
      <c r="F9" s="42"/>
    </row>
    <row r="10" customFormat="false" ht="15" hidden="false" customHeight="false" outlineLevel="0" collapsed="false">
      <c r="A10" s="41"/>
      <c r="B10" s="42"/>
      <c r="C10" s="42"/>
      <c r="D10" s="43"/>
      <c r="E10" s="42"/>
      <c r="F10" s="42"/>
    </row>
    <row r="11" customFormat="false" ht="15" hidden="false" customHeight="false" outlineLevel="0" collapsed="false">
      <c r="A11" s="41"/>
      <c r="B11" s="42"/>
      <c r="C11" s="42"/>
      <c r="D11" s="43"/>
      <c r="E11" s="42"/>
      <c r="F11" s="42"/>
    </row>
    <row r="12" customFormat="false" ht="15" hidden="false" customHeight="false" outlineLevel="0" collapsed="false">
      <c r="A12" s="41"/>
      <c r="B12" s="42"/>
      <c r="C12" s="42"/>
      <c r="D12" s="43"/>
      <c r="E12" s="42"/>
      <c r="F12" s="42"/>
    </row>
    <row r="13" customFormat="false" ht="15" hidden="false" customHeight="false" outlineLevel="0" collapsed="false">
      <c r="A13" s="41"/>
      <c r="B13" s="42"/>
      <c r="C13" s="42"/>
      <c r="D13" s="43"/>
      <c r="E13" s="42"/>
      <c r="F13" s="42"/>
    </row>
    <row r="14" customFormat="false" ht="15" hidden="false" customHeight="false" outlineLevel="0" collapsed="false">
      <c r="A14" s="41"/>
      <c r="B14" s="42"/>
      <c r="C14" s="42"/>
      <c r="D14" s="43"/>
      <c r="E14" s="42"/>
      <c r="F14" s="42"/>
    </row>
    <row r="15" customFormat="false" ht="15" hidden="false" customHeight="false" outlineLevel="0" collapsed="false">
      <c r="A15" s="41"/>
      <c r="B15" s="42"/>
      <c r="C15" s="42"/>
      <c r="D15" s="43"/>
      <c r="E15" s="42"/>
      <c r="F15" s="42"/>
    </row>
    <row r="16" customFormat="false" ht="15" hidden="false" customHeight="false" outlineLevel="0" collapsed="false">
      <c r="A16" s="41"/>
      <c r="B16" s="42"/>
      <c r="C16" s="42"/>
      <c r="D16" s="43"/>
      <c r="E16" s="42"/>
      <c r="F16" s="42"/>
    </row>
    <row r="17" customFormat="false" ht="15" hidden="false" customHeight="false" outlineLevel="0" collapsed="false">
      <c r="A17" s="41"/>
      <c r="B17" s="42"/>
      <c r="C17" s="42"/>
      <c r="D17" s="43"/>
      <c r="E17" s="42"/>
      <c r="F17" s="42"/>
    </row>
    <row r="18" customFormat="false" ht="15" hidden="false" customHeight="false" outlineLevel="0" collapsed="false">
      <c r="A18" s="41"/>
      <c r="B18" s="42"/>
      <c r="C18" s="42"/>
      <c r="D18" s="43"/>
      <c r="E18" s="42"/>
      <c r="F18" s="42"/>
    </row>
    <row r="19" customFormat="false" ht="15" hidden="false" customHeight="false" outlineLevel="0" collapsed="false">
      <c r="A19" s="41"/>
      <c r="B19" s="42"/>
      <c r="C19" s="42"/>
      <c r="D19" s="43"/>
      <c r="E19" s="42"/>
      <c r="F19" s="42"/>
    </row>
    <row r="20" customFormat="false" ht="15" hidden="false" customHeight="false" outlineLevel="0" collapsed="false">
      <c r="A20" s="41"/>
      <c r="B20" s="42"/>
      <c r="C20" s="42"/>
      <c r="D20" s="43"/>
      <c r="E20" s="42"/>
      <c r="F20" s="42"/>
    </row>
    <row r="21" customFormat="false" ht="15" hidden="false" customHeight="false" outlineLevel="0" collapsed="false">
      <c r="A21" s="41"/>
      <c r="B21" s="42"/>
      <c r="C21" s="42"/>
      <c r="D21" s="43"/>
      <c r="E21" s="42"/>
      <c r="F21" s="42"/>
    </row>
    <row r="22" customFormat="false" ht="15" hidden="false" customHeight="false" outlineLevel="0" collapsed="false">
      <c r="A22" s="41"/>
      <c r="B22" s="42"/>
      <c r="C22" s="42"/>
      <c r="D22" s="43"/>
      <c r="E22" s="42"/>
      <c r="F22" s="42"/>
    </row>
    <row r="23" customFormat="false" ht="15" hidden="false" customHeight="false" outlineLevel="0" collapsed="false">
      <c r="A23" s="41"/>
      <c r="B23" s="42"/>
      <c r="C23" s="42"/>
      <c r="D23" s="43"/>
      <c r="E23" s="42"/>
      <c r="F23" s="42"/>
    </row>
    <row r="24" customFormat="false" ht="15" hidden="false" customHeight="false" outlineLevel="0" collapsed="false">
      <c r="A24" s="41"/>
      <c r="B24" s="42"/>
      <c r="C24" s="42"/>
      <c r="D24" s="43"/>
      <c r="E24" s="42"/>
      <c r="F24" s="42"/>
    </row>
    <row r="25" customFormat="false" ht="15" hidden="false" customHeight="false" outlineLevel="0" collapsed="false">
      <c r="A25" s="41"/>
      <c r="B25" s="42"/>
      <c r="C25" s="42"/>
      <c r="D25" s="43"/>
      <c r="E25" s="42"/>
      <c r="F25" s="42"/>
    </row>
    <row r="26" customFormat="false" ht="15" hidden="false" customHeight="false" outlineLevel="0" collapsed="false">
      <c r="A26" s="41"/>
      <c r="B26" s="42"/>
      <c r="C26" s="42"/>
      <c r="D26" s="43"/>
      <c r="E26" s="42"/>
      <c r="F26" s="42"/>
    </row>
    <row r="27" customFormat="false" ht="15" hidden="false" customHeight="false" outlineLevel="0" collapsed="false">
      <c r="A27" s="41"/>
      <c r="B27" s="42"/>
      <c r="C27" s="42"/>
      <c r="D27" s="43"/>
      <c r="E27" s="42"/>
      <c r="F27" s="42"/>
    </row>
    <row r="28" customFormat="false" ht="15" hidden="false" customHeight="false" outlineLevel="0" collapsed="false">
      <c r="A28" s="41"/>
      <c r="B28" s="42"/>
      <c r="C28" s="42"/>
      <c r="D28" s="43"/>
      <c r="E28" s="42"/>
      <c r="F28" s="42"/>
    </row>
    <row r="29" customFormat="false" ht="15" hidden="false" customHeight="false" outlineLevel="0" collapsed="false">
      <c r="A29" s="41"/>
      <c r="B29" s="42"/>
      <c r="C29" s="42"/>
      <c r="D29" s="43"/>
      <c r="E29" s="42"/>
      <c r="F29" s="42"/>
    </row>
    <row r="30" customFormat="false" ht="15" hidden="false" customHeight="false" outlineLevel="0" collapsed="false">
      <c r="A30" s="41"/>
      <c r="B30" s="42"/>
      <c r="C30" s="42"/>
      <c r="D30" s="43"/>
      <c r="E30" s="42"/>
      <c r="F30" s="42"/>
    </row>
    <row r="31" customFormat="false" ht="15" hidden="false" customHeight="false" outlineLevel="0" collapsed="false">
      <c r="A31" s="41"/>
      <c r="B31" s="42"/>
      <c r="C31" s="42"/>
      <c r="D31" s="43"/>
      <c r="E31" s="42"/>
      <c r="F31" s="42"/>
    </row>
    <row r="32" customFormat="false" ht="15" hidden="false" customHeight="false" outlineLevel="0" collapsed="false">
      <c r="A32" s="41"/>
      <c r="B32" s="42"/>
      <c r="C32" s="42"/>
      <c r="D32" s="43"/>
      <c r="E32" s="42"/>
      <c r="F32" s="42"/>
    </row>
    <row r="33" customFormat="false" ht="15" hidden="false" customHeight="false" outlineLevel="0" collapsed="false">
      <c r="A33" s="41"/>
      <c r="B33" s="42"/>
      <c r="C33" s="42"/>
      <c r="D33" s="43"/>
      <c r="E33" s="42"/>
      <c r="F33" s="42"/>
    </row>
    <row r="34" customFormat="false" ht="15" hidden="false" customHeight="false" outlineLevel="0" collapsed="false">
      <c r="A34" s="41"/>
      <c r="B34" s="42"/>
      <c r="C34" s="42"/>
      <c r="D34" s="43"/>
      <c r="E34" s="42"/>
      <c r="F34" s="42"/>
    </row>
    <row r="35" customFormat="false" ht="15" hidden="false" customHeight="false" outlineLevel="0" collapsed="false">
      <c r="A35" s="41"/>
      <c r="B35" s="42"/>
      <c r="C35" s="42"/>
      <c r="D35" s="43"/>
      <c r="E35" s="42"/>
      <c r="F35" s="42"/>
    </row>
    <row r="36" customFormat="false" ht="15" hidden="false" customHeight="false" outlineLevel="0" collapsed="false">
      <c r="A36" s="41"/>
      <c r="B36" s="42"/>
      <c r="C36" s="42"/>
      <c r="D36" s="43"/>
      <c r="E36" s="42"/>
      <c r="F36" s="42"/>
    </row>
    <row r="37" customFormat="false" ht="15" hidden="false" customHeight="false" outlineLevel="0" collapsed="false">
      <c r="A37" s="41"/>
      <c r="B37" s="42"/>
      <c r="C37" s="42"/>
      <c r="D37" s="43"/>
      <c r="E37" s="42"/>
      <c r="F37" s="42"/>
    </row>
    <row r="38" customFormat="false" ht="15" hidden="false" customHeight="false" outlineLevel="0" collapsed="false">
      <c r="A38" s="41"/>
      <c r="B38" s="42"/>
      <c r="C38" s="42"/>
      <c r="D38" s="43"/>
      <c r="E38" s="42"/>
      <c r="F38" s="42"/>
    </row>
    <row r="39" customFormat="false" ht="15" hidden="false" customHeight="false" outlineLevel="0" collapsed="false">
      <c r="A39" s="41"/>
      <c r="B39" s="42"/>
      <c r="C39" s="42"/>
      <c r="D39" s="43"/>
      <c r="E39" s="42"/>
      <c r="F39" s="42"/>
    </row>
    <row r="40" customFormat="false" ht="15" hidden="false" customHeight="false" outlineLevel="0" collapsed="false">
      <c r="A40" s="41"/>
      <c r="B40" s="42"/>
      <c r="C40" s="42"/>
      <c r="D40" s="43"/>
      <c r="E40" s="42"/>
      <c r="F40" s="42"/>
    </row>
    <row r="41" customFormat="false" ht="15" hidden="false" customHeight="false" outlineLevel="0" collapsed="false">
      <c r="A41" s="41"/>
      <c r="B41" s="42"/>
      <c r="C41" s="42"/>
      <c r="D41" s="43"/>
      <c r="E41" s="42"/>
      <c r="F41" s="42"/>
    </row>
    <row r="42" customFormat="false" ht="15" hidden="false" customHeight="false" outlineLevel="0" collapsed="false">
      <c r="A42" s="41"/>
      <c r="B42" s="42"/>
      <c r="C42" s="42"/>
      <c r="D42" s="43"/>
      <c r="E42" s="42"/>
      <c r="F42" s="42"/>
    </row>
    <row r="43" customFormat="false" ht="15" hidden="false" customHeight="false" outlineLevel="0" collapsed="false">
      <c r="A43" s="41"/>
      <c r="B43" s="42"/>
      <c r="C43" s="42"/>
      <c r="D43" s="43"/>
      <c r="E43" s="42"/>
      <c r="F43" s="42"/>
    </row>
    <row r="44" customFormat="false" ht="15" hidden="false" customHeight="false" outlineLevel="0" collapsed="false">
      <c r="A44" s="41"/>
      <c r="B44" s="42"/>
      <c r="C44" s="42"/>
      <c r="D44" s="43"/>
      <c r="E44" s="42"/>
      <c r="F44" s="42"/>
    </row>
    <row r="45" customFormat="false" ht="15" hidden="false" customHeight="false" outlineLevel="0" collapsed="false">
      <c r="A45" s="41"/>
      <c r="B45" s="42"/>
      <c r="C45" s="42"/>
      <c r="D45" s="43"/>
      <c r="E45" s="42"/>
      <c r="F45" s="42"/>
    </row>
    <row r="46" customFormat="false" ht="15" hidden="false" customHeight="false" outlineLevel="0" collapsed="false">
      <c r="A46" s="41"/>
      <c r="B46" s="42"/>
      <c r="C46" s="42"/>
      <c r="D46" s="43"/>
      <c r="E46" s="42"/>
      <c r="F46" s="42"/>
    </row>
    <row r="47" customFormat="false" ht="15" hidden="false" customHeight="false" outlineLevel="0" collapsed="false">
      <c r="A47" s="41"/>
      <c r="B47" s="42"/>
      <c r="C47" s="42"/>
      <c r="D47" s="43"/>
      <c r="E47" s="42"/>
      <c r="F47" s="42"/>
    </row>
    <row r="48" customFormat="false" ht="15" hidden="false" customHeight="false" outlineLevel="0" collapsed="false">
      <c r="A48" s="41"/>
      <c r="B48" s="42"/>
      <c r="C48" s="42"/>
      <c r="D48" s="43"/>
      <c r="E48" s="42"/>
      <c r="F48" s="42"/>
    </row>
    <row r="49" customFormat="false" ht="15" hidden="false" customHeight="false" outlineLevel="0" collapsed="false">
      <c r="A49" s="41"/>
      <c r="B49" s="42"/>
      <c r="C49" s="42"/>
      <c r="D49" s="43"/>
      <c r="E49" s="42"/>
      <c r="F49" s="42"/>
    </row>
    <row r="50" customFormat="false" ht="15" hidden="false" customHeight="false" outlineLevel="0" collapsed="false">
      <c r="A50" s="41"/>
      <c r="B50" s="42"/>
      <c r="C50" s="42"/>
      <c r="D50" s="43"/>
      <c r="E50" s="42"/>
      <c r="F50" s="42"/>
    </row>
    <row r="51" customFormat="false" ht="15" hidden="false" customHeight="false" outlineLevel="0" collapsed="false">
      <c r="A51" s="41"/>
      <c r="B51" s="42"/>
      <c r="C51" s="42"/>
      <c r="D51" s="43"/>
      <c r="E51" s="42"/>
      <c r="F51" s="42"/>
    </row>
    <row r="52" customFormat="false" ht="15" hidden="false" customHeight="false" outlineLevel="0" collapsed="false">
      <c r="A52" s="41"/>
      <c r="B52" s="42"/>
      <c r="C52" s="42"/>
      <c r="D52" s="43"/>
      <c r="E52" s="42"/>
      <c r="F52" s="42"/>
    </row>
    <row r="53" customFormat="false" ht="15" hidden="false" customHeight="false" outlineLevel="0" collapsed="false">
      <c r="A53" s="41"/>
      <c r="B53" s="42"/>
      <c r="C53" s="42"/>
      <c r="D53" s="43"/>
      <c r="E53" s="42"/>
      <c r="F53" s="42"/>
    </row>
    <row r="54" customFormat="false" ht="15" hidden="false" customHeight="false" outlineLevel="0" collapsed="false">
      <c r="A54" s="41"/>
      <c r="B54" s="42"/>
      <c r="C54" s="42"/>
      <c r="D54" s="43"/>
      <c r="E54" s="42"/>
      <c r="F54" s="42"/>
    </row>
    <row r="55" customFormat="false" ht="15" hidden="false" customHeight="false" outlineLevel="0" collapsed="false">
      <c r="A55" s="41"/>
      <c r="B55" s="42"/>
      <c r="C55" s="42"/>
      <c r="D55" s="43"/>
      <c r="E55" s="42"/>
      <c r="F55" s="42"/>
    </row>
    <row r="56" customFormat="false" ht="15" hidden="false" customHeight="false" outlineLevel="0" collapsed="false">
      <c r="A56" s="41"/>
      <c r="B56" s="42"/>
      <c r="C56" s="42"/>
      <c r="D56" s="43"/>
      <c r="E56" s="42"/>
      <c r="F56" s="42"/>
    </row>
    <row r="57" customFormat="false" ht="15" hidden="false" customHeight="false" outlineLevel="0" collapsed="false">
      <c r="A57" s="41"/>
      <c r="B57" s="42"/>
      <c r="C57" s="42"/>
      <c r="D57" s="43"/>
      <c r="E57" s="42"/>
      <c r="F57" s="42"/>
    </row>
    <row r="58" customFormat="false" ht="15" hidden="false" customHeight="false" outlineLevel="0" collapsed="false">
      <c r="A58" s="41"/>
      <c r="B58" s="42"/>
      <c r="C58" s="42"/>
      <c r="D58" s="43"/>
      <c r="E58" s="42"/>
      <c r="F58" s="42"/>
    </row>
    <row r="59" customFormat="false" ht="15" hidden="false" customHeight="false" outlineLevel="0" collapsed="false">
      <c r="A59" s="41"/>
      <c r="B59" s="42"/>
      <c r="C59" s="42"/>
      <c r="D59" s="43"/>
      <c r="E59" s="42"/>
      <c r="F59" s="42"/>
    </row>
    <row r="60" customFormat="false" ht="15" hidden="false" customHeight="false" outlineLevel="0" collapsed="false">
      <c r="A60" s="41"/>
      <c r="B60" s="42"/>
      <c r="C60" s="42"/>
      <c r="D60" s="43"/>
      <c r="E60" s="42"/>
      <c r="F60" s="42"/>
    </row>
    <row r="61" customFormat="false" ht="15" hidden="false" customHeight="false" outlineLevel="0" collapsed="false">
      <c r="A61" s="41"/>
      <c r="B61" s="42"/>
      <c r="C61" s="42"/>
      <c r="D61" s="43"/>
      <c r="E61" s="42"/>
      <c r="F61" s="42"/>
    </row>
    <row r="62" customFormat="false" ht="15" hidden="false" customHeight="false" outlineLevel="0" collapsed="false">
      <c r="A62" s="41"/>
      <c r="B62" s="42"/>
      <c r="C62" s="42"/>
      <c r="D62" s="43"/>
      <c r="E62" s="42"/>
      <c r="F62" s="42"/>
    </row>
    <row r="63" customFormat="false" ht="15" hidden="false" customHeight="false" outlineLevel="0" collapsed="false">
      <c r="A63" s="41"/>
      <c r="B63" s="42"/>
      <c r="C63" s="42"/>
      <c r="D63" s="43"/>
      <c r="E63" s="42"/>
      <c r="F63" s="42"/>
    </row>
    <row r="64" customFormat="false" ht="15" hidden="false" customHeight="false" outlineLevel="0" collapsed="false">
      <c r="A64" s="41"/>
      <c r="B64" s="42"/>
      <c r="C64" s="42"/>
      <c r="D64" s="43"/>
      <c r="E64" s="42"/>
      <c r="F64" s="42"/>
    </row>
    <row r="65" customFormat="false" ht="15" hidden="false" customHeight="false" outlineLevel="0" collapsed="false">
      <c r="A65" s="41"/>
      <c r="B65" s="42"/>
      <c r="C65" s="42"/>
      <c r="D65" s="43"/>
      <c r="E65" s="42"/>
      <c r="F65" s="42"/>
    </row>
    <row r="66" customFormat="false" ht="15" hidden="false" customHeight="false" outlineLevel="0" collapsed="false">
      <c r="A66" s="41"/>
      <c r="B66" s="42"/>
      <c r="C66" s="42"/>
      <c r="D66" s="43"/>
      <c r="E66" s="42"/>
      <c r="F66" s="42"/>
    </row>
    <row r="67" customFormat="false" ht="15" hidden="false" customHeight="false" outlineLevel="0" collapsed="false">
      <c r="A67" s="41"/>
      <c r="B67" s="42"/>
      <c r="C67" s="42"/>
      <c r="D67" s="43"/>
      <c r="E67" s="42"/>
      <c r="F67" s="42"/>
    </row>
    <row r="68" customFormat="false" ht="15" hidden="false" customHeight="false" outlineLevel="0" collapsed="false">
      <c r="A68" s="41"/>
      <c r="B68" s="42"/>
      <c r="C68" s="42"/>
      <c r="D68" s="43"/>
      <c r="E68" s="42"/>
      <c r="F68" s="42"/>
    </row>
    <row r="69" customFormat="false" ht="15" hidden="false" customHeight="false" outlineLevel="0" collapsed="false">
      <c r="A69" s="41"/>
      <c r="B69" s="42"/>
      <c r="C69" s="42"/>
      <c r="D69" s="43"/>
      <c r="E69" s="42"/>
      <c r="F69" s="42"/>
    </row>
    <row r="70" customFormat="false" ht="15" hidden="false" customHeight="false" outlineLevel="0" collapsed="false">
      <c r="A70" s="41"/>
      <c r="B70" s="42"/>
      <c r="C70" s="42"/>
      <c r="D70" s="43"/>
      <c r="E70" s="42"/>
      <c r="F70" s="42"/>
    </row>
    <row r="71" customFormat="false" ht="15" hidden="false" customHeight="false" outlineLevel="0" collapsed="false">
      <c r="A71" s="41"/>
      <c r="B71" s="42"/>
      <c r="C71" s="42"/>
      <c r="D71" s="43"/>
      <c r="E71" s="42"/>
      <c r="F71" s="42"/>
    </row>
    <row r="72" customFormat="false" ht="15" hidden="false" customHeight="false" outlineLevel="0" collapsed="false">
      <c r="A72" s="41"/>
      <c r="B72" s="42"/>
      <c r="C72" s="42"/>
      <c r="D72" s="43"/>
      <c r="E72" s="42"/>
      <c r="F72" s="42"/>
    </row>
    <row r="73" customFormat="false" ht="15" hidden="false" customHeight="false" outlineLevel="0" collapsed="false">
      <c r="A73" s="41"/>
      <c r="B73" s="42"/>
      <c r="C73" s="42"/>
      <c r="D73" s="43"/>
      <c r="E73" s="42"/>
      <c r="F73" s="42"/>
    </row>
    <row r="74" customFormat="false" ht="15" hidden="false" customHeight="false" outlineLevel="0" collapsed="false">
      <c r="A74" s="41"/>
      <c r="B74" s="42"/>
      <c r="C74" s="42"/>
      <c r="D74" s="43"/>
      <c r="E74" s="42"/>
      <c r="F74" s="42"/>
    </row>
    <row r="75" customFormat="false" ht="15" hidden="false" customHeight="false" outlineLevel="0" collapsed="false">
      <c r="A75" s="41"/>
      <c r="B75" s="42"/>
      <c r="C75" s="42"/>
      <c r="D75" s="43"/>
      <c r="E75" s="42"/>
      <c r="F75" s="42"/>
    </row>
    <row r="76" customFormat="false" ht="15" hidden="false" customHeight="false" outlineLevel="0" collapsed="false">
      <c r="A76" s="41"/>
      <c r="B76" s="42"/>
      <c r="C76" s="42"/>
      <c r="D76" s="43"/>
      <c r="E76" s="42"/>
      <c r="F76" s="42"/>
    </row>
    <row r="77" customFormat="false" ht="15" hidden="false" customHeight="false" outlineLevel="0" collapsed="false">
      <c r="A77" s="41"/>
      <c r="B77" s="42"/>
      <c r="C77" s="42"/>
      <c r="D77" s="43"/>
      <c r="E77" s="42"/>
      <c r="F77" s="42"/>
    </row>
    <row r="78" customFormat="false" ht="15" hidden="false" customHeight="false" outlineLevel="0" collapsed="false">
      <c r="A78" s="41"/>
      <c r="B78" s="42"/>
      <c r="C78" s="42"/>
      <c r="D78" s="43"/>
      <c r="E78" s="42"/>
      <c r="F78" s="42"/>
    </row>
    <row r="79" customFormat="false" ht="15" hidden="false" customHeight="false" outlineLevel="0" collapsed="false">
      <c r="A79" s="41"/>
      <c r="B79" s="42"/>
      <c r="C79" s="42"/>
      <c r="D79" s="43"/>
      <c r="E79" s="42"/>
      <c r="F79" s="42"/>
    </row>
    <row r="80" customFormat="false" ht="15" hidden="false" customHeight="false" outlineLevel="0" collapsed="false">
      <c r="A80" s="41"/>
      <c r="B80" s="42"/>
      <c r="C80" s="42"/>
      <c r="D80" s="43"/>
      <c r="E80" s="42"/>
      <c r="F80" s="42"/>
    </row>
    <row r="81" customFormat="false" ht="15" hidden="false" customHeight="false" outlineLevel="0" collapsed="false">
      <c r="A81" s="41"/>
      <c r="B81" s="42"/>
      <c r="C81" s="42"/>
      <c r="D81" s="43"/>
      <c r="E81" s="42"/>
      <c r="F81" s="42"/>
    </row>
    <row r="82" customFormat="false" ht="15" hidden="false" customHeight="false" outlineLevel="0" collapsed="false">
      <c r="A82" s="41"/>
      <c r="B82" s="42"/>
      <c r="C82" s="42"/>
      <c r="D82" s="43"/>
      <c r="E82" s="42"/>
      <c r="F82" s="42"/>
    </row>
    <row r="83" customFormat="false" ht="15" hidden="false" customHeight="false" outlineLevel="0" collapsed="false">
      <c r="A83" s="41"/>
      <c r="B83" s="42"/>
      <c r="C83" s="42"/>
      <c r="D83" s="43"/>
      <c r="E83" s="42"/>
      <c r="F83" s="42"/>
    </row>
    <row r="84" customFormat="false" ht="15" hidden="false" customHeight="false" outlineLevel="0" collapsed="false">
      <c r="A84" s="41"/>
      <c r="B84" s="42"/>
      <c r="C84" s="42"/>
      <c r="D84" s="43"/>
      <c r="E84" s="42"/>
      <c r="F84" s="42"/>
    </row>
    <row r="85" customFormat="false" ht="15" hidden="false" customHeight="false" outlineLevel="0" collapsed="false">
      <c r="A85" s="41"/>
      <c r="B85" s="42"/>
      <c r="C85" s="42"/>
      <c r="D85" s="43"/>
      <c r="E85" s="42"/>
      <c r="F85" s="42"/>
    </row>
    <row r="86" customFormat="false" ht="15" hidden="false" customHeight="false" outlineLevel="0" collapsed="false">
      <c r="A86" s="41"/>
      <c r="B86" s="42"/>
      <c r="C86" s="42"/>
      <c r="D86" s="43"/>
      <c r="E86" s="42"/>
      <c r="F86" s="42"/>
    </row>
    <row r="87" customFormat="false" ht="15" hidden="false" customHeight="false" outlineLevel="0" collapsed="false">
      <c r="A87" s="41"/>
      <c r="B87" s="42"/>
      <c r="C87" s="42"/>
      <c r="D87" s="43"/>
      <c r="E87" s="42"/>
      <c r="F87" s="42"/>
    </row>
    <row r="88" customFormat="false" ht="15" hidden="false" customHeight="false" outlineLevel="0" collapsed="false">
      <c r="A88" s="41"/>
      <c r="B88" s="42"/>
      <c r="C88" s="42"/>
      <c r="D88" s="43"/>
      <c r="E88" s="42"/>
      <c r="F88" s="42"/>
    </row>
    <row r="89" customFormat="false" ht="15" hidden="false" customHeight="false" outlineLevel="0" collapsed="false">
      <c r="A89" s="41"/>
      <c r="B89" s="42"/>
      <c r="C89" s="42"/>
      <c r="D89" s="43"/>
      <c r="E89" s="42"/>
      <c r="F89" s="42"/>
    </row>
    <row r="90" customFormat="false" ht="15" hidden="false" customHeight="false" outlineLevel="0" collapsed="false">
      <c r="A90" s="41"/>
      <c r="B90" s="42"/>
      <c r="C90" s="42"/>
      <c r="D90" s="43"/>
      <c r="E90" s="42"/>
      <c r="F90" s="42"/>
    </row>
    <row r="91" customFormat="false" ht="15" hidden="false" customHeight="false" outlineLevel="0" collapsed="false">
      <c r="A91" s="41"/>
      <c r="B91" s="42"/>
      <c r="C91" s="42"/>
      <c r="D91" s="43"/>
      <c r="E91" s="42"/>
      <c r="F91" s="42"/>
    </row>
    <row r="92" customFormat="false" ht="15" hidden="false" customHeight="false" outlineLevel="0" collapsed="false">
      <c r="A92" s="41"/>
      <c r="B92" s="42"/>
      <c r="C92" s="42"/>
      <c r="D92" s="43"/>
      <c r="E92" s="42"/>
      <c r="F92" s="42"/>
    </row>
    <row r="93" customFormat="false" ht="15" hidden="false" customHeight="false" outlineLevel="0" collapsed="false">
      <c r="A93" s="41"/>
      <c r="B93" s="42"/>
      <c r="C93" s="42"/>
      <c r="D93" s="43"/>
      <c r="E93" s="42"/>
      <c r="F93" s="42"/>
    </row>
    <row r="94" customFormat="false" ht="15" hidden="false" customHeight="false" outlineLevel="0" collapsed="false">
      <c r="A94" s="41"/>
      <c r="B94" s="42"/>
      <c r="C94" s="42"/>
      <c r="D94" s="43"/>
      <c r="E94" s="42"/>
      <c r="F94" s="42"/>
    </row>
    <row r="95" customFormat="false" ht="15" hidden="false" customHeight="false" outlineLevel="0" collapsed="false">
      <c r="A95" s="41"/>
      <c r="B95" s="42"/>
      <c r="C95" s="42"/>
      <c r="D95" s="43"/>
      <c r="E95" s="42"/>
      <c r="F95" s="42"/>
    </row>
    <row r="96" customFormat="false" ht="15" hidden="false" customHeight="false" outlineLevel="0" collapsed="false">
      <c r="A96" s="41"/>
      <c r="B96" s="42"/>
      <c r="C96" s="42"/>
      <c r="D96" s="43"/>
      <c r="E96" s="42"/>
      <c r="F96" s="42"/>
    </row>
    <row r="97" customFormat="false" ht="15" hidden="false" customHeight="false" outlineLevel="0" collapsed="false">
      <c r="A97" s="41"/>
      <c r="B97" s="42"/>
      <c r="C97" s="42"/>
      <c r="D97" s="43"/>
      <c r="E97" s="42"/>
      <c r="F97" s="42"/>
    </row>
    <row r="98" customFormat="false" ht="15" hidden="false" customHeight="false" outlineLevel="0" collapsed="false">
      <c r="A98" s="41"/>
      <c r="B98" s="42"/>
      <c r="C98" s="42"/>
      <c r="D98" s="43"/>
      <c r="E98" s="42"/>
      <c r="F98" s="42"/>
    </row>
    <row r="99" customFormat="false" ht="15" hidden="false" customHeight="false" outlineLevel="0" collapsed="false">
      <c r="A99" s="41"/>
      <c r="B99" s="42"/>
      <c r="C99" s="42"/>
      <c r="D99" s="43"/>
      <c r="E99" s="42"/>
      <c r="F99" s="42"/>
    </row>
    <row r="100" customFormat="false" ht="15" hidden="false" customHeight="false" outlineLevel="0" collapsed="false">
      <c r="A100" s="41"/>
      <c r="B100" s="42"/>
      <c r="C100" s="42"/>
      <c r="D100" s="43"/>
      <c r="E100" s="42"/>
      <c r="F100" s="42"/>
    </row>
    <row r="101" customFormat="false" ht="15" hidden="false" customHeight="false" outlineLevel="0" collapsed="false">
      <c r="A101" s="41"/>
      <c r="B101" s="42"/>
      <c r="C101" s="42"/>
      <c r="D101" s="43"/>
      <c r="E101" s="42"/>
      <c r="F101" s="42"/>
    </row>
    <row r="102" customFormat="false" ht="15" hidden="false" customHeight="false" outlineLevel="0" collapsed="false">
      <c r="A102" s="41"/>
      <c r="B102" s="42"/>
      <c r="C102" s="42"/>
      <c r="D102" s="43"/>
      <c r="E102" s="42"/>
      <c r="F102" s="42"/>
    </row>
    <row r="103" customFormat="false" ht="15" hidden="false" customHeight="false" outlineLevel="0" collapsed="false">
      <c r="A103" s="41"/>
      <c r="B103" s="42"/>
      <c r="C103" s="42"/>
      <c r="D103" s="43"/>
      <c r="E103" s="42"/>
      <c r="F103" s="42"/>
    </row>
    <row r="104" customFormat="false" ht="15" hidden="false" customHeight="false" outlineLevel="0" collapsed="false">
      <c r="A104" s="41"/>
      <c r="B104" s="42"/>
      <c r="C104" s="42"/>
      <c r="D104" s="43"/>
      <c r="E104" s="42"/>
      <c r="F104" s="42"/>
    </row>
    <row r="105" customFormat="false" ht="15" hidden="false" customHeight="false" outlineLevel="0" collapsed="false">
      <c r="A105" s="41"/>
      <c r="B105" s="42"/>
      <c r="C105" s="42"/>
      <c r="D105" s="43"/>
      <c r="E105" s="42"/>
      <c r="F105" s="42"/>
    </row>
    <row r="106" customFormat="false" ht="15" hidden="false" customHeight="false" outlineLevel="0" collapsed="false">
      <c r="A106" s="41"/>
      <c r="B106" s="42"/>
      <c r="C106" s="42"/>
      <c r="D106" s="43"/>
      <c r="E106" s="42"/>
      <c r="F106" s="42"/>
    </row>
    <row r="107" customFormat="false" ht="15" hidden="false" customHeight="false" outlineLevel="0" collapsed="false">
      <c r="A107" s="41"/>
      <c r="B107" s="42"/>
      <c r="C107" s="42"/>
      <c r="D107" s="43"/>
      <c r="E107" s="42"/>
      <c r="F107" s="42"/>
    </row>
    <row r="108" customFormat="false" ht="15" hidden="false" customHeight="false" outlineLevel="0" collapsed="false">
      <c r="A108" s="41"/>
      <c r="B108" s="42"/>
      <c r="C108" s="42"/>
      <c r="D108" s="43"/>
      <c r="E108" s="42"/>
      <c r="F108" s="42"/>
    </row>
    <row r="109" customFormat="false" ht="15" hidden="false" customHeight="false" outlineLevel="0" collapsed="false">
      <c r="A109" s="41"/>
      <c r="B109" s="42"/>
      <c r="C109" s="42"/>
      <c r="D109" s="43"/>
      <c r="E109" s="42"/>
      <c r="F109" s="42"/>
    </row>
    <row r="110" customFormat="false" ht="15" hidden="false" customHeight="false" outlineLevel="0" collapsed="false">
      <c r="A110" s="41"/>
      <c r="B110" s="42"/>
      <c r="C110" s="42"/>
      <c r="D110" s="43"/>
      <c r="E110" s="42"/>
      <c r="F110" s="42"/>
    </row>
    <row r="111" customFormat="false" ht="15" hidden="false" customHeight="false" outlineLevel="0" collapsed="false">
      <c r="A111" s="41"/>
      <c r="B111" s="42"/>
      <c r="C111" s="42"/>
      <c r="D111" s="43"/>
      <c r="E111" s="42"/>
      <c r="F111" s="42"/>
    </row>
    <row r="112" customFormat="false" ht="15" hidden="false" customHeight="false" outlineLevel="0" collapsed="false">
      <c r="A112" s="41"/>
      <c r="B112" s="42"/>
      <c r="C112" s="42"/>
      <c r="D112" s="43"/>
      <c r="E112" s="42"/>
      <c r="F112" s="42"/>
    </row>
    <row r="113" customFormat="false" ht="15" hidden="false" customHeight="false" outlineLevel="0" collapsed="false">
      <c r="A113" s="41"/>
      <c r="B113" s="42"/>
      <c r="C113" s="42"/>
      <c r="D113" s="43"/>
      <c r="E113" s="42"/>
      <c r="F113" s="42"/>
    </row>
    <row r="114" customFormat="false" ht="15" hidden="false" customHeight="false" outlineLevel="0" collapsed="false">
      <c r="A114" s="41"/>
      <c r="B114" s="42"/>
      <c r="C114" s="42"/>
      <c r="D114" s="43"/>
      <c r="E114" s="42"/>
      <c r="F114" s="42"/>
    </row>
    <row r="115" customFormat="false" ht="15" hidden="false" customHeight="false" outlineLevel="0" collapsed="false">
      <c r="A115" s="41"/>
      <c r="B115" s="42"/>
      <c r="C115" s="42"/>
      <c r="D115" s="43"/>
      <c r="E115" s="42"/>
      <c r="F115" s="42"/>
    </row>
    <row r="116" customFormat="false" ht="15" hidden="false" customHeight="false" outlineLevel="0" collapsed="false">
      <c r="A116" s="41"/>
      <c r="B116" s="42"/>
      <c r="C116" s="42"/>
      <c r="D116" s="43"/>
      <c r="E116" s="42"/>
      <c r="F116" s="42"/>
    </row>
    <row r="117" customFormat="false" ht="15" hidden="false" customHeight="false" outlineLevel="0" collapsed="false">
      <c r="A117" s="41"/>
      <c r="B117" s="42"/>
      <c r="C117" s="42"/>
      <c r="D117" s="43"/>
      <c r="E117" s="42"/>
      <c r="F117" s="42"/>
    </row>
    <row r="118" customFormat="false" ht="15" hidden="false" customHeight="false" outlineLevel="0" collapsed="false">
      <c r="A118" s="41"/>
      <c r="B118" s="42"/>
      <c r="C118" s="42"/>
      <c r="D118" s="43"/>
      <c r="E118" s="42"/>
      <c r="F118" s="42"/>
    </row>
    <row r="119" customFormat="false" ht="15" hidden="false" customHeight="false" outlineLevel="0" collapsed="false">
      <c r="A119" s="41"/>
      <c r="B119" s="42"/>
      <c r="C119" s="42"/>
      <c r="D119" s="43"/>
      <c r="E119" s="42"/>
      <c r="F119" s="42"/>
    </row>
    <row r="120" customFormat="false" ht="15" hidden="false" customHeight="false" outlineLevel="0" collapsed="false">
      <c r="A120" s="41"/>
      <c r="B120" s="42"/>
      <c r="C120" s="42"/>
      <c r="D120" s="43"/>
      <c r="E120" s="42"/>
      <c r="F120" s="42"/>
    </row>
    <row r="121" customFormat="false" ht="15" hidden="false" customHeight="false" outlineLevel="0" collapsed="false">
      <c r="A121" s="41"/>
      <c r="B121" s="42"/>
      <c r="C121" s="42"/>
      <c r="D121" s="43"/>
      <c r="E121" s="42"/>
      <c r="F121" s="42"/>
    </row>
    <row r="122" customFormat="false" ht="15" hidden="false" customHeight="false" outlineLevel="0" collapsed="false">
      <c r="A122" s="41"/>
      <c r="B122" s="42"/>
      <c r="C122" s="42"/>
      <c r="D122" s="43"/>
      <c r="E122" s="42"/>
      <c r="F122" s="42"/>
    </row>
    <row r="123" customFormat="false" ht="15" hidden="false" customHeight="false" outlineLevel="0" collapsed="false">
      <c r="A123" s="41"/>
      <c r="B123" s="42"/>
      <c r="C123" s="42"/>
      <c r="D123" s="43"/>
      <c r="E123" s="42"/>
      <c r="F123" s="42"/>
    </row>
    <row r="124" customFormat="false" ht="15" hidden="false" customHeight="false" outlineLevel="0" collapsed="false">
      <c r="A124" s="41"/>
      <c r="B124" s="42"/>
      <c r="C124" s="42"/>
      <c r="D124" s="43"/>
      <c r="E124" s="42"/>
      <c r="F124" s="42"/>
    </row>
    <row r="125" customFormat="false" ht="15" hidden="false" customHeight="false" outlineLevel="0" collapsed="false">
      <c r="A125" s="41"/>
      <c r="B125" s="42"/>
      <c r="C125" s="42"/>
      <c r="D125" s="43"/>
      <c r="E125" s="42"/>
      <c r="F125" s="42"/>
    </row>
    <row r="126" customFormat="false" ht="15" hidden="false" customHeight="false" outlineLevel="0" collapsed="false">
      <c r="A126" s="41"/>
      <c r="B126" s="42"/>
      <c r="C126" s="42"/>
      <c r="D126" s="43"/>
      <c r="E126" s="42"/>
      <c r="F126" s="42"/>
    </row>
    <row r="127" customFormat="false" ht="15" hidden="false" customHeight="false" outlineLevel="0" collapsed="false">
      <c r="A127" s="41"/>
      <c r="B127" s="42"/>
      <c r="C127" s="42"/>
      <c r="D127" s="43"/>
      <c r="E127" s="42"/>
      <c r="F127" s="42"/>
    </row>
    <row r="128" customFormat="false" ht="15" hidden="false" customHeight="false" outlineLevel="0" collapsed="false">
      <c r="A128" s="41"/>
      <c r="B128" s="42"/>
      <c r="C128" s="42"/>
      <c r="D128" s="43"/>
      <c r="E128" s="42"/>
      <c r="F128" s="42"/>
    </row>
    <row r="129" customFormat="false" ht="15" hidden="false" customHeight="false" outlineLevel="0" collapsed="false">
      <c r="A129" s="41"/>
      <c r="B129" s="42"/>
      <c r="C129" s="42"/>
      <c r="D129" s="43"/>
      <c r="E129" s="42"/>
      <c r="F129" s="42"/>
    </row>
    <row r="130" customFormat="false" ht="15" hidden="false" customHeight="false" outlineLevel="0" collapsed="false">
      <c r="A130" s="41"/>
      <c r="B130" s="42"/>
      <c r="C130" s="42"/>
      <c r="D130" s="43"/>
      <c r="E130" s="42"/>
      <c r="F130" s="42"/>
    </row>
    <row r="131" customFormat="false" ht="15" hidden="false" customHeight="false" outlineLevel="0" collapsed="false">
      <c r="A131" s="41"/>
      <c r="B131" s="42"/>
      <c r="C131" s="42"/>
      <c r="D131" s="43"/>
      <c r="E131" s="42"/>
      <c r="F131" s="42"/>
    </row>
    <row r="132" customFormat="false" ht="15" hidden="false" customHeight="false" outlineLevel="0" collapsed="false">
      <c r="A132" s="41"/>
      <c r="B132" s="42"/>
      <c r="C132" s="42"/>
      <c r="D132" s="43"/>
      <c r="E132" s="42"/>
      <c r="F132" s="42"/>
    </row>
    <row r="133" customFormat="false" ht="15" hidden="false" customHeight="false" outlineLevel="0" collapsed="false">
      <c r="A133" s="41"/>
      <c r="B133" s="42"/>
      <c r="C133" s="42"/>
      <c r="D133" s="43"/>
      <c r="E133" s="42"/>
      <c r="F133" s="42"/>
    </row>
    <row r="134" customFormat="false" ht="15" hidden="false" customHeight="false" outlineLevel="0" collapsed="false">
      <c r="A134" s="41"/>
      <c r="B134" s="42"/>
      <c r="C134" s="42"/>
      <c r="D134" s="43"/>
      <c r="E134" s="42"/>
      <c r="F134" s="42"/>
    </row>
    <row r="135" customFormat="false" ht="15" hidden="false" customHeight="false" outlineLevel="0" collapsed="false">
      <c r="A135" s="41"/>
      <c r="B135" s="42"/>
      <c r="C135" s="42"/>
      <c r="D135" s="43"/>
      <c r="E135" s="42"/>
      <c r="F135" s="42"/>
    </row>
    <row r="136" customFormat="false" ht="15" hidden="false" customHeight="false" outlineLevel="0" collapsed="false">
      <c r="A136" s="41"/>
      <c r="B136" s="42"/>
      <c r="C136" s="42"/>
      <c r="D136" s="43"/>
      <c r="E136" s="42"/>
      <c r="F136" s="42"/>
    </row>
    <row r="137" customFormat="false" ht="15" hidden="false" customHeight="false" outlineLevel="0" collapsed="false">
      <c r="A137" s="41"/>
      <c r="B137" s="42"/>
      <c r="C137" s="42"/>
      <c r="D137" s="43"/>
      <c r="E137" s="42"/>
      <c r="F137" s="42"/>
    </row>
    <row r="138" customFormat="false" ht="15" hidden="false" customHeight="false" outlineLevel="0" collapsed="false">
      <c r="A138" s="41"/>
      <c r="B138" s="42"/>
      <c r="C138" s="42"/>
      <c r="D138" s="43"/>
      <c r="E138" s="42"/>
      <c r="F138" s="42"/>
    </row>
    <row r="139" customFormat="false" ht="15" hidden="false" customHeight="false" outlineLevel="0" collapsed="false">
      <c r="A139" s="41"/>
      <c r="B139" s="42"/>
      <c r="C139" s="42"/>
      <c r="D139" s="43"/>
      <c r="E139" s="42"/>
      <c r="F139" s="42"/>
    </row>
    <row r="140" customFormat="false" ht="15" hidden="false" customHeight="false" outlineLevel="0" collapsed="false">
      <c r="A140" s="41"/>
      <c r="B140" s="42"/>
      <c r="C140" s="42"/>
      <c r="D140" s="43"/>
      <c r="E140" s="42"/>
      <c r="F140" s="42"/>
    </row>
    <row r="141" customFormat="false" ht="15" hidden="false" customHeight="false" outlineLevel="0" collapsed="false">
      <c r="A141" s="41"/>
      <c r="B141" s="42"/>
      <c r="C141" s="42"/>
      <c r="D141" s="43"/>
      <c r="E141" s="42"/>
      <c r="F141" s="42"/>
    </row>
    <row r="142" customFormat="false" ht="15" hidden="false" customHeight="false" outlineLevel="0" collapsed="false">
      <c r="A142" s="41"/>
      <c r="B142" s="42"/>
      <c r="C142" s="42"/>
      <c r="D142" s="43"/>
      <c r="E142" s="42"/>
      <c r="F142" s="42"/>
    </row>
    <row r="143" customFormat="false" ht="15" hidden="false" customHeight="false" outlineLevel="0" collapsed="false">
      <c r="A143" s="41"/>
      <c r="B143" s="42"/>
      <c r="C143" s="42"/>
      <c r="D143" s="43"/>
      <c r="E143" s="42"/>
      <c r="F143" s="42"/>
    </row>
    <row r="144" customFormat="false" ht="15" hidden="false" customHeight="false" outlineLevel="0" collapsed="false">
      <c r="A144" s="41"/>
      <c r="B144" s="42"/>
      <c r="C144" s="42"/>
      <c r="D144" s="43"/>
      <c r="E144" s="42"/>
      <c r="F144" s="42"/>
    </row>
    <row r="145" customFormat="false" ht="15" hidden="false" customHeight="false" outlineLevel="0" collapsed="false">
      <c r="A145" s="41"/>
      <c r="B145" s="42"/>
      <c r="C145" s="42"/>
      <c r="D145" s="43"/>
      <c r="E145" s="42"/>
      <c r="F145" s="42"/>
    </row>
    <row r="146" customFormat="false" ht="15" hidden="false" customHeight="false" outlineLevel="0" collapsed="false">
      <c r="A146" s="41"/>
      <c r="B146" s="42"/>
      <c r="C146" s="42"/>
      <c r="D146" s="43"/>
      <c r="E146" s="42"/>
      <c r="F146" s="42"/>
    </row>
    <row r="147" customFormat="false" ht="15" hidden="false" customHeight="false" outlineLevel="0" collapsed="false">
      <c r="A147" s="41"/>
      <c r="B147" s="42"/>
      <c r="C147" s="42"/>
      <c r="D147" s="43"/>
      <c r="E147" s="42"/>
      <c r="F147" s="42"/>
    </row>
    <row r="148" customFormat="false" ht="15" hidden="false" customHeight="false" outlineLevel="0" collapsed="false">
      <c r="A148" s="41"/>
      <c r="B148" s="42"/>
      <c r="C148" s="42"/>
      <c r="D148" s="43"/>
      <c r="E148" s="42"/>
      <c r="F148" s="42"/>
    </row>
    <row r="149" customFormat="false" ht="15" hidden="false" customHeight="false" outlineLevel="0" collapsed="false">
      <c r="A149" s="41"/>
      <c r="B149" s="42"/>
      <c r="C149" s="42"/>
      <c r="D149" s="43"/>
      <c r="E149" s="42"/>
      <c r="F149" s="42"/>
    </row>
    <row r="150" customFormat="false" ht="15" hidden="false" customHeight="false" outlineLevel="0" collapsed="false">
      <c r="A150" s="41"/>
      <c r="B150" s="42"/>
      <c r="C150" s="42"/>
      <c r="D150" s="43"/>
      <c r="E150" s="42"/>
      <c r="F150" s="42"/>
    </row>
    <row r="151" customFormat="false" ht="15" hidden="false" customHeight="false" outlineLevel="0" collapsed="false">
      <c r="A151" s="41"/>
      <c r="B151" s="42"/>
      <c r="C151" s="42"/>
      <c r="D151" s="43"/>
      <c r="E151" s="42"/>
      <c r="F151" s="42"/>
    </row>
    <row r="152" customFormat="false" ht="15" hidden="false" customHeight="false" outlineLevel="0" collapsed="false">
      <c r="A152" s="41"/>
      <c r="B152" s="42"/>
      <c r="C152" s="42"/>
      <c r="D152" s="43"/>
      <c r="E152" s="42"/>
      <c r="F152" s="42"/>
    </row>
    <row r="153" customFormat="false" ht="15" hidden="false" customHeight="false" outlineLevel="0" collapsed="false">
      <c r="A153" s="41"/>
      <c r="B153" s="42"/>
      <c r="C153" s="42"/>
      <c r="D153" s="43"/>
      <c r="E153" s="42"/>
      <c r="F153" s="42"/>
    </row>
    <row r="154" customFormat="false" ht="15" hidden="false" customHeight="false" outlineLevel="0" collapsed="false">
      <c r="A154" s="41"/>
      <c r="B154" s="42"/>
      <c r="C154" s="42"/>
      <c r="D154" s="43"/>
      <c r="E154" s="42"/>
      <c r="F154" s="42"/>
    </row>
    <row r="155" customFormat="false" ht="15" hidden="false" customHeight="false" outlineLevel="0" collapsed="false">
      <c r="A155" s="41"/>
      <c r="B155" s="42"/>
      <c r="C155" s="42"/>
      <c r="D155" s="43"/>
      <c r="E155" s="42"/>
      <c r="F155" s="42"/>
    </row>
    <row r="156" customFormat="false" ht="15" hidden="false" customHeight="false" outlineLevel="0" collapsed="false">
      <c r="A156" s="41"/>
      <c r="B156" s="42"/>
      <c r="C156" s="42"/>
      <c r="D156" s="43"/>
      <c r="E156" s="42"/>
      <c r="F156" s="42"/>
    </row>
    <row r="157" customFormat="false" ht="15" hidden="false" customHeight="false" outlineLevel="0" collapsed="false">
      <c r="A157" s="41"/>
      <c r="B157" s="42"/>
      <c r="C157" s="42"/>
      <c r="D157" s="43"/>
      <c r="E157" s="42"/>
      <c r="F157" s="42"/>
    </row>
    <row r="158" customFormat="false" ht="15" hidden="false" customHeight="false" outlineLevel="0" collapsed="false">
      <c r="A158" s="41"/>
      <c r="B158" s="42"/>
      <c r="C158" s="42"/>
      <c r="D158" s="43"/>
      <c r="E158" s="42"/>
      <c r="F158" s="42"/>
    </row>
    <row r="159" customFormat="false" ht="15" hidden="false" customHeight="false" outlineLevel="0" collapsed="false">
      <c r="A159" s="41"/>
      <c r="B159" s="42"/>
      <c r="C159" s="42"/>
      <c r="D159" s="43"/>
      <c r="E159" s="42"/>
      <c r="F159" s="42"/>
    </row>
    <row r="160" customFormat="false" ht="15" hidden="false" customHeight="false" outlineLevel="0" collapsed="false">
      <c r="A160" s="41"/>
      <c r="B160" s="42"/>
      <c r="C160" s="42"/>
      <c r="D160" s="43"/>
      <c r="E160" s="42"/>
      <c r="F160" s="42"/>
    </row>
    <row r="161" customFormat="false" ht="15" hidden="false" customHeight="false" outlineLevel="0" collapsed="false">
      <c r="A161" s="41"/>
      <c r="B161" s="42"/>
      <c r="C161" s="42"/>
      <c r="D161" s="43"/>
      <c r="E161" s="42"/>
      <c r="F161" s="42"/>
    </row>
    <row r="162" customFormat="false" ht="15" hidden="false" customHeight="false" outlineLevel="0" collapsed="false">
      <c r="A162" s="41"/>
      <c r="B162" s="42"/>
      <c r="C162" s="42"/>
      <c r="D162" s="43"/>
      <c r="E162" s="42"/>
      <c r="F162" s="42"/>
    </row>
    <row r="163" customFormat="false" ht="15" hidden="false" customHeight="false" outlineLevel="0" collapsed="false">
      <c r="A163" s="41"/>
      <c r="B163" s="42"/>
      <c r="C163" s="42"/>
      <c r="D163" s="43"/>
      <c r="E163" s="42"/>
      <c r="F163" s="42"/>
    </row>
    <row r="164" customFormat="false" ht="15" hidden="false" customHeight="false" outlineLevel="0" collapsed="false">
      <c r="A164" s="41"/>
      <c r="B164" s="42"/>
      <c r="C164" s="42"/>
      <c r="D164" s="43"/>
      <c r="E164" s="42"/>
      <c r="F164" s="42"/>
    </row>
    <row r="165" customFormat="false" ht="15" hidden="false" customHeight="false" outlineLevel="0" collapsed="false">
      <c r="A165" s="41"/>
      <c r="B165" s="42"/>
      <c r="C165" s="42"/>
      <c r="D165" s="43"/>
      <c r="E165" s="42"/>
      <c r="F165" s="42"/>
    </row>
    <row r="166" customFormat="false" ht="15" hidden="false" customHeight="false" outlineLevel="0" collapsed="false">
      <c r="A166" s="41"/>
      <c r="B166" s="42"/>
      <c r="C166" s="42"/>
      <c r="D166" s="43"/>
      <c r="E166" s="42"/>
      <c r="F166" s="42"/>
    </row>
    <row r="167" customFormat="false" ht="15" hidden="false" customHeight="false" outlineLevel="0" collapsed="false">
      <c r="A167" s="41"/>
      <c r="B167" s="42"/>
      <c r="C167" s="42"/>
      <c r="D167" s="43"/>
      <c r="E167" s="42"/>
      <c r="F167" s="42"/>
    </row>
    <row r="168" customFormat="false" ht="15" hidden="false" customHeight="false" outlineLevel="0" collapsed="false">
      <c r="A168" s="41"/>
      <c r="B168" s="42"/>
      <c r="C168" s="42"/>
      <c r="D168" s="43"/>
      <c r="E168" s="42"/>
      <c r="F168" s="42"/>
    </row>
    <row r="169" customFormat="false" ht="15" hidden="false" customHeight="false" outlineLevel="0" collapsed="false">
      <c r="A169" s="41"/>
      <c r="B169" s="42"/>
      <c r="C169" s="42"/>
      <c r="D169" s="43"/>
      <c r="E169" s="42"/>
      <c r="F169" s="42"/>
    </row>
    <row r="170" customFormat="false" ht="15" hidden="false" customHeight="false" outlineLevel="0" collapsed="false">
      <c r="A170" s="41"/>
      <c r="B170" s="42"/>
      <c r="C170" s="42"/>
      <c r="D170" s="43"/>
      <c r="E170" s="42"/>
      <c r="F170" s="42"/>
    </row>
    <row r="171" customFormat="false" ht="15" hidden="false" customHeight="false" outlineLevel="0" collapsed="false">
      <c r="A171" s="41"/>
      <c r="B171" s="42"/>
      <c r="C171" s="42"/>
      <c r="D171" s="43"/>
      <c r="E171" s="42"/>
      <c r="F171" s="42"/>
    </row>
    <row r="172" customFormat="false" ht="15" hidden="false" customHeight="false" outlineLevel="0" collapsed="false">
      <c r="A172" s="41"/>
      <c r="B172" s="42"/>
      <c r="C172" s="42"/>
      <c r="D172" s="43"/>
      <c r="E172" s="42"/>
      <c r="F172" s="42"/>
    </row>
    <row r="173" customFormat="false" ht="15" hidden="false" customHeight="false" outlineLevel="0" collapsed="false">
      <c r="A173" s="41"/>
      <c r="B173" s="42"/>
      <c r="C173" s="42"/>
      <c r="D173" s="43"/>
      <c r="E173" s="42"/>
      <c r="F173" s="42"/>
    </row>
    <row r="174" customFormat="false" ht="15" hidden="false" customHeight="false" outlineLevel="0" collapsed="false">
      <c r="A174" s="41"/>
      <c r="B174" s="42"/>
      <c r="C174" s="42"/>
      <c r="D174" s="43"/>
      <c r="E174" s="42"/>
      <c r="F174" s="42"/>
    </row>
    <row r="175" customFormat="false" ht="15" hidden="false" customHeight="false" outlineLevel="0" collapsed="false">
      <c r="A175" s="41"/>
      <c r="B175" s="42"/>
      <c r="C175" s="42"/>
      <c r="D175" s="43"/>
      <c r="E175" s="42"/>
      <c r="F175" s="42"/>
    </row>
    <row r="176" customFormat="false" ht="15" hidden="false" customHeight="false" outlineLevel="0" collapsed="false">
      <c r="A176" s="41"/>
      <c r="B176" s="42"/>
      <c r="C176" s="42"/>
      <c r="D176" s="43"/>
      <c r="E176" s="42"/>
      <c r="F176" s="42"/>
    </row>
    <row r="177" customFormat="false" ht="15" hidden="false" customHeight="false" outlineLevel="0" collapsed="false">
      <c r="A177" s="41"/>
      <c r="B177" s="42"/>
      <c r="C177" s="42"/>
      <c r="D177" s="43"/>
      <c r="E177" s="42"/>
      <c r="F177" s="42"/>
    </row>
    <row r="178" customFormat="false" ht="15" hidden="false" customHeight="false" outlineLevel="0" collapsed="false">
      <c r="A178" s="41"/>
      <c r="B178" s="42"/>
      <c r="C178" s="42"/>
      <c r="D178" s="43"/>
      <c r="E178" s="42"/>
      <c r="F178" s="42"/>
    </row>
    <row r="179" customFormat="false" ht="15" hidden="false" customHeight="false" outlineLevel="0" collapsed="false">
      <c r="A179" s="41"/>
      <c r="B179" s="42"/>
      <c r="C179" s="42"/>
      <c r="D179" s="43"/>
      <c r="E179" s="42"/>
      <c r="F179" s="42"/>
    </row>
    <row r="180" customFormat="false" ht="15" hidden="false" customHeight="false" outlineLevel="0" collapsed="false">
      <c r="A180" s="41"/>
      <c r="B180" s="42"/>
      <c r="C180" s="42"/>
      <c r="D180" s="43"/>
      <c r="E180" s="42"/>
      <c r="F180" s="42"/>
    </row>
    <row r="181" customFormat="false" ht="15" hidden="false" customHeight="false" outlineLevel="0" collapsed="false">
      <c r="A181" s="41"/>
      <c r="B181" s="42"/>
      <c r="C181" s="42"/>
      <c r="D181" s="43"/>
      <c r="E181" s="42"/>
      <c r="F181" s="42"/>
    </row>
    <row r="182" customFormat="false" ht="15" hidden="false" customHeight="false" outlineLevel="0" collapsed="false">
      <c r="A182" s="41"/>
      <c r="B182" s="42"/>
      <c r="C182" s="42"/>
      <c r="D182" s="43"/>
      <c r="E182" s="42"/>
      <c r="F182" s="42"/>
    </row>
    <row r="183" customFormat="false" ht="15" hidden="false" customHeight="false" outlineLevel="0" collapsed="false">
      <c r="A183" s="41"/>
      <c r="B183" s="42"/>
      <c r="C183" s="42"/>
      <c r="D183" s="43"/>
      <c r="E183" s="42"/>
      <c r="F183" s="42"/>
    </row>
    <row r="184" customFormat="false" ht="15" hidden="false" customHeight="false" outlineLevel="0" collapsed="false">
      <c r="A184" s="41"/>
      <c r="B184" s="42"/>
      <c r="C184" s="42"/>
      <c r="D184" s="43"/>
      <c r="E184" s="42"/>
      <c r="F184" s="42"/>
    </row>
    <row r="185" customFormat="false" ht="15" hidden="false" customHeight="false" outlineLevel="0" collapsed="false">
      <c r="A185" s="41"/>
      <c r="B185" s="42"/>
      <c r="C185" s="42"/>
      <c r="D185" s="43"/>
      <c r="E185" s="42"/>
      <c r="F185" s="42"/>
    </row>
    <row r="186" customFormat="false" ht="15" hidden="false" customHeight="false" outlineLevel="0" collapsed="false">
      <c r="A186" s="41"/>
      <c r="B186" s="42"/>
      <c r="C186" s="42"/>
      <c r="D186" s="43"/>
      <c r="E186" s="42"/>
      <c r="F186" s="42"/>
    </row>
    <row r="187" customFormat="false" ht="15" hidden="false" customHeight="false" outlineLevel="0" collapsed="false">
      <c r="A187" s="41"/>
      <c r="B187" s="42"/>
      <c r="C187" s="42"/>
      <c r="D187" s="43"/>
      <c r="E187" s="42"/>
      <c r="F187" s="42"/>
    </row>
    <row r="188" customFormat="false" ht="15" hidden="false" customHeight="false" outlineLevel="0" collapsed="false">
      <c r="A188" s="41"/>
      <c r="B188" s="42"/>
      <c r="C188" s="42"/>
      <c r="D188" s="43"/>
      <c r="E188" s="42"/>
      <c r="F188" s="42"/>
    </row>
    <row r="189" customFormat="false" ht="15" hidden="false" customHeight="false" outlineLevel="0" collapsed="false">
      <c r="A189" s="41"/>
      <c r="B189" s="42"/>
      <c r="C189" s="42"/>
      <c r="D189" s="43"/>
      <c r="E189" s="42"/>
      <c r="F189" s="42"/>
    </row>
    <row r="190" customFormat="false" ht="15" hidden="false" customHeight="false" outlineLevel="0" collapsed="false">
      <c r="A190" s="41"/>
      <c r="B190" s="42"/>
      <c r="C190" s="42"/>
      <c r="D190" s="43"/>
      <c r="E190" s="42"/>
      <c r="F190" s="42"/>
    </row>
    <row r="191" customFormat="false" ht="15" hidden="false" customHeight="false" outlineLevel="0" collapsed="false">
      <c r="A191" s="41"/>
      <c r="B191" s="42"/>
      <c r="C191" s="42"/>
      <c r="D191" s="43"/>
      <c r="E191" s="42"/>
      <c r="F191" s="42"/>
    </row>
    <row r="192" customFormat="false" ht="15" hidden="false" customHeight="false" outlineLevel="0" collapsed="false">
      <c r="A192" s="41"/>
      <c r="B192" s="42"/>
      <c r="C192" s="42"/>
      <c r="D192" s="43"/>
      <c r="E192" s="42"/>
      <c r="F192" s="42"/>
    </row>
    <row r="193" customFormat="false" ht="15" hidden="false" customHeight="false" outlineLevel="0" collapsed="false">
      <c r="A193" s="41"/>
      <c r="B193" s="42"/>
      <c r="C193" s="42"/>
      <c r="D193" s="43"/>
      <c r="E193" s="42"/>
      <c r="F193" s="42"/>
    </row>
    <row r="194" customFormat="false" ht="15" hidden="false" customHeight="false" outlineLevel="0" collapsed="false">
      <c r="A194" s="41"/>
      <c r="B194" s="42"/>
      <c r="C194" s="42"/>
      <c r="D194" s="43"/>
      <c r="E194" s="42"/>
      <c r="F194" s="42"/>
    </row>
    <row r="195" customFormat="false" ht="15" hidden="false" customHeight="false" outlineLevel="0" collapsed="false">
      <c r="A195" s="41"/>
      <c r="B195" s="42"/>
      <c r="C195" s="42"/>
      <c r="D195" s="43"/>
      <c r="E195" s="42"/>
      <c r="F195" s="42"/>
    </row>
    <row r="196" customFormat="false" ht="15" hidden="false" customHeight="false" outlineLevel="0" collapsed="false">
      <c r="A196" s="41"/>
      <c r="B196" s="42"/>
      <c r="C196" s="42"/>
      <c r="D196" s="43"/>
      <c r="E196" s="42"/>
      <c r="F196" s="42"/>
    </row>
    <row r="197" customFormat="false" ht="15" hidden="false" customHeight="false" outlineLevel="0" collapsed="false">
      <c r="A197" s="41"/>
      <c r="B197" s="42"/>
      <c r="C197" s="42"/>
      <c r="D197" s="43"/>
      <c r="E197" s="42"/>
      <c r="F197" s="42"/>
    </row>
    <row r="198" customFormat="false" ht="15" hidden="false" customHeight="false" outlineLevel="0" collapsed="false">
      <c r="A198" s="41"/>
      <c r="B198" s="42"/>
      <c r="C198" s="42"/>
      <c r="D198" s="43"/>
      <c r="E198" s="42"/>
      <c r="F198" s="42"/>
    </row>
    <row r="199" customFormat="false" ht="15" hidden="false" customHeight="false" outlineLevel="0" collapsed="false">
      <c r="A199" s="41"/>
      <c r="B199" s="42"/>
      <c r="C199" s="42"/>
      <c r="D199" s="43"/>
      <c r="E199" s="42"/>
      <c r="F199" s="42"/>
    </row>
    <row r="200" customFormat="false" ht="15" hidden="false" customHeight="false" outlineLevel="0" collapsed="false">
      <c r="A200" s="41"/>
      <c r="B200" s="42"/>
      <c r="C200" s="42"/>
      <c r="D200" s="43"/>
      <c r="E200" s="42"/>
      <c r="F200" s="42"/>
    </row>
    <row r="201" customFormat="false" ht="15" hidden="false" customHeight="false" outlineLevel="0" collapsed="false">
      <c r="A201" s="41"/>
      <c r="B201" s="42"/>
      <c r="C201" s="42"/>
      <c r="D201" s="43"/>
      <c r="E201" s="42"/>
      <c r="F201" s="42"/>
    </row>
    <row r="202" customFormat="false" ht="15" hidden="false" customHeight="false" outlineLevel="0" collapsed="false">
      <c r="A202" s="41"/>
      <c r="B202" s="42"/>
      <c r="C202" s="42"/>
      <c r="D202" s="43"/>
      <c r="E202" s="42"/>
      <c r="F202" s="42"/>
    </row>
    <row r="203" customFormat="false" ht="15" hidden="false" customHeight="false" outlineLevel="0" collapsed="false">
      <c r="A203" s="41"/>
      <c r="B203" s="42"/>
      <c r="C203" s="42"/>
      <c r="D203" s="43"/>
      <c r="E203" s="42"/>
      <c r="F203" s="42"/>
    </row>
    <row r="204" customFormat="false" ht="15" hidden="false" customHeight="false" outlineLevel="0" collapsed="false">
      <c r="A204" s="41"/>
      <c r="B204" s="42"/>
      <c r="C204" s="42"/>
      <c r="D204" s="43"/>
      <c r="E204" s="42"/>
      <c r="F204" s="42"/>
    </row>
    <row r="205" customFormat="false" ht="15" hidden="false" customHeight="false" outlineLevel="0" collapsed="false">
      <c r="A205" s="41"/>
      <c r="B205" s="42"/>
      <c r="C205" s="42"/>
      <c r="D205" s="43"/>
      <c r="E205" s="42"/>
      <c r="F205" s="42"/>
    </row>
    <row r="206" customFormat="false" ht="15" hidden="false" customHeight="false" outlineLevel="0" collapsed="false">
      <c r="A206" s="41"/>
      <c r="B206" s="42"/>
      <c r="C206" s="42"/>
      <c r="D206" s="43"/>
      <c r="E206" s="42"/>
      <c r="F206" s="42"/>
    </row>
    <row r="207" customFormat="false" ht="15" hidden="false" customHeight="false" outlineLevel="0" collapsed="false">
      <c r="A207" s="41"/>
      <c r="B207" s="42"/>
      <c r="C207" s="42"/>
      <c r="D207" s="43"/>
      <c r="E207" s="42"/>
      <c r="F207" s="42"/>
    </row>
    <row r="208" customFormat="false" ht="15" hidden="false" customHeight="false" outlineLevel="0" collapsed="false">
      <c r="A208" s="41"/>
      <c r="B208" s="42"/>
      <c r="C208" s="42"/>
      <c r="D208" s="43"/>
      <c r="E208" s="42"/>
      <c r="F208" s="42"/>
    </row>
    <row r="209" customFormat="false" ht="15" hidden="false" customHeight="false" outlineLevel="0" collapsed="false">
      <c r="A209" s="41"/>
      <c r="B209" s="42"/>
      <c r="C209" s="42"/>
      <c r="D209" s="43"/>
      <c r="E209" s="42"/>
      <c r="F209" s="42"/>
    </row>
    <row r="210" customFormat="false" ht="15" hidden="false" customHeight="false" outlineLevel="0" collapsed="false">
      <c r="A210" s="41"/>
      <c r="B210" s="42"/>
      <c r="C210" s="42"/>
      <c r="D210" s="43"/>
      <c r="E210" s="42"/>
      <c r="F210" s="42"/>
    </row>
    <row r="211" customFormat="false" ht="15" hidden="false" customHeight="false" outlineLevel="0" collapsed="false">
      <c r="A211" s="41"/>
      <c r="B211" s="42"/>
      <c r="C211" s="42"/>
      <c r="D211" s="43"/>
      <c r="E211" s="42"/>
      <c r="F211" s="42"/>
    </row>
    <row r="212" customFormat="false" ht="15" hidden="false" customHeight="false" outlineLevel="0" collapsed="false">
      <c r="A212" s="41"/>
      <c r="B212" s="42"/>
      <c r="C212" s="42"/>
      <c r="D212" s="43"/>
      <c r="E212" s="42"/>
      <c r="F212" s="42"/>
    </row>
    <row r="213" customFormat="false" ht="15" hidden="false" customHeight="false" outlineLevel="0" collapsed="false">
      <c r="A213" s="41"/>
      <c r="B213" s="42"/>
      <c r="C213" s="42"/>
      <c r="D213" s="43"/>
      <c r="E213" s="42"/>
      <c r="F213" s="42"/>
    </row>
    <row r="214" customFormat="false" ht="15" hidden="false" customHeight="false" outlineLevel="0" collapsed="false">
      <c r="A214" s="41"/>
      <c r="B214" s="42"/>
      <c r="C214" s="42"/>
      <c r="D214" s="43"/>
      <c r="E214" s="42"/>
      <c r="F214" s="42"/>
    </row>
    <row r="215" customFormat="false" ht="15" hidden="false" customHeight="false" outlineLevel="0" collapsed="false">
      <c r="A215" s="41"/>
      <c r="B215" s="42"/>
      <c r="C215" s="42"/>
      <c r="D215" s="43"/>
      <c r="E215" s="42"/>
      <c r="F215" s="42"/>
    </row>
    <row r="216" customFormat="false" ht="15" hidden="false" customHeight="false" outlineLevel="0" collapsed="false">
      <c r="A216" s="41"/>
      <c r="B216" s="42"/>
      <c r="C216" s="42"/>
      <c r="D216" s="43"/>
      <c r="E216" s="42"/>
      <c r="F216" s="42"/>
    </row>
    <row r="217" customFormat="false" ht="15" hidden="false" customHeight="false" outlineLevel="0" collapsed="false">
      <c r="A217" s="41"/>
      <c r="B217" s="42"/>
      <c r="C217" s="42"/>
      <c r="D217" s="43"/>
      <c r="E217" s="42"/>
      <c r="F217" s="42"/>
    </row>
    <row r="218" customFormat="false" ht="15" hidden="false" customHeight="false" outlineLevel="0" collapsed="false">
      <c r="A218" s="41"/>
      <c r="B218" s="42"/>
      <c r="C218" s="42"/>
      <c r="D218" s="43"/>
      <c r="E218" s="42"/>
      <c r="F218" s="42"/>
    </row>
    <row r="219" customFormat="false" ht="15" hidden="false" customHeight="false" outlineLevel="0" collapsed="false">
      <c r="A219" s="41"/>
      <c r="B219" s="42"/>
      <c r="C219" s="42"/>
      <c r="D219" s="43"/>
      <c r="E219" s="42"/>
      <c r="F219" s="42"/>
    </row>
    <row r="220" customFormat="false" ht="15" hidden="false" customHeight="false" outlineLevel="0" collapsed="false">
      <c r="A220" s="41"/>
      <c r="B220" s="42"/>
      <c r="C220" s="42"/>
      <c r="D220" s="43"/>
      <c r="E220" s="42"/>
      <c r="F220" s="42"/>
    </row>
    <row r="221" customFormat="false" ht="15" hidden="false" customHeight="false" outlineLevel="0" collapsed="false">
      <c r="A221" s="41"/>
      <c r="B221" s="42"/>
      <c r="C221" s="42"/>
      <c r="D221" s="43"/>
      <c r="E221" s="42"/>
      <c r="F221" s="42"/>
    </row>
    <row r="222" customFormat="false" ht="15" hidden="false" customHeight="false" outlineLevel="0" collapsed="false">
      <c r="A222" s="41"/>
      <c r="B222" s="42"/>
      <c r="C222" s="42"/>
      <c r="D222" s="43"/>
      <c r="E222" s="42"/>
      <c r="F222" s="42"/>
    </row>
    <row r="223" customFormat="false" ht="15" hidden="false" customHeight="false" outlineLevel="0" collapsed="false">
      <c r="A223" s="41"/>
      <c r="B223" s="42"/>
      <c r="C223" s="42"/>
      <c r="D223" s="43"/>
      <c r="E223" s="42"/>
      <c r="F223" s="42"/>
    </row>
    <row r="224" customFormat="false" ht="15" hidden="false" customHeight="false" outlineLevel="0" collapsed="false">
      <c r="A224" s="41"/>
      <c r="B224" s="42"/>
      <c r="C224" s="42"/>
      <c r="D224" s="43"/>
      <c r="E224" s="42"/>
      <c r="F224" s="42"/>
    </row>
    <row r="225" customFormat="false" ht="15" hidden="false" customHeight="false" outlineLevel="0" collapsed="false">
      <c r="A225" s="41"/>
      <c r="B225" s="42"/>
      <c r="C225" s="42"/>
      <c r="D225" s="43"/>
      <c r="E225" s="42"/>
      <c r="F225" s="42"/>
    </row>
    <row r="226" customFormat="false" ht="15" hidden="false" customHeight="false" outlineLevel="0" collapsed="false">
      <c r="A226" s="41"/>
      <c r="B226" s="42"/>
      <c r="C226" s="42"/>
      <c r="D226" s="43"/>
      <c r="E226" s="42"/>
      <c r="F226" s="42"/>
    </row>
    <row r="227" customFormat="false" ht="15" hidden="false" customHeight="false" outlineLevel="0" collapsed="false">
      <c r="A227" s="41"/>
      <c r="B227" s="42"/>
      <c r="C227" s="42"/>
      <c r="D227" s="43"/>
      <c r="E227" s="42"/>
      <c r="F227" s="42"/>
    </row>
    <row r="228" customFormat="false" ht="15" hidden="false" customHeight="false" outlineLevel="0" collapsed="false">
      <c r="A228" s="41"/>
      <c r="B228" s="42"/>
      <c r="C228" s="42"/>
      <c r="D228" s="43"/>
      <c r="E228" s="42"/>
      <c r="F228" s="42"/>
    </row>
    <row r="229" customFormat="false" ht="15" hidden="false" customHeight="false" outlineLevel="0" collapsed="false">
      <c r="A229" s="41"/>
      <c r="B229" s="42"/>
      <c r="C229" s="42"/>
      <c r="D229" s="43"/>
      <c r="E229" s="42"/>
      <c r="F229" s="42"/>
    </row>
    <row r="230" customFormat="false" ht="15" hidden="false" customHeight="false" outlineLevel="0" collapsed="false">
      <c r="A230" s="41"/>
      <c r="B230" s="42"/>
      <c r="C230" s="42"/>
      <c r="D230" s="43"/>
      <c r="E230" s="42"/>
      <c r="F230" s="42"/>
    </row>
    <row r="231" customFormat="false" ht="15" hidden="false" customHeight="false" outlineLevel="0" collapsed="false">
      <c r="A231" s="41"/>
      <c r="B231" s="42"/>
      <c r="C231" s="42"/>
      <c r="D231" s="43"/>
      <c r="E231" s="42"/>
      <c r="F231" s="42"/>
    </row>
    <row r="232" customFormat="false" ht="15" hidden="false" customHeight="false" outlineLevel="0" collapsed="false">
      <c r="A232" s="41"/>
      <c r="B232" s="42"/>
      <c r="C232" s="42"/>
      <c r="D232" s="43"/>
      <c r="E232" s="42"/>
      <c r="F232" s="42"/>
    </row>
    <row r="233" customFormat="false" ht="15" hidden="false" customHeight="false" outlineLevel="0" collapsed="false">
      <c r="A233" s="41"/>
      <c r="B233" s="42"/>
      <c r="C233" s="42"/>
      <c r="D233" s="43"/>
      <c r="E233" s="42"/>
      <c r="F233" s="42"/>
    </row>
    <row r="234" customFormat="false" ht="15" hidden="false" customHeight="false" outlineLevel="0" collapsed="false">
      <c r="A234" s="41"/>
      <c r="B234" s="42"/>
      <c r="C234" s="42"/>
      <c r="D234" s="43"/>
      <c r="E234" s="42"/>
      <c r="F234" s="42"/>
    </row>
    <row r="235" customFormat="false" ht="15" hidden="false" customHeight="false" outlineLevel="0" collapsed="false">
      <c r="A235" s="41"/>
      <c r="B235" s="42"/>
      <c r="C235" s="42"/>
      <c r="D235" s="43"/>
      <c r="E235" s="42"/>
      <c r="F235" s="42"/>
    </row>
    <row r="236" customFormat="false" ht="15" hidden="false" customHeight="false" outlineLevel="0" collapsed="false">
      <c r="A236" s="41"/>
      <c r="B236" s="42"/>
      <c r="C236" s="42"/>
      <c r="D236" s="43"/>
      <c r="E236" s="42"/>
      <c r="F236" s="42"/>
    </row>
    <row r="237" customFormat="false" ht="15" hidden="false" customHeight="false" outlineLevel="0" collapsed="false">
      <c r="A237" s="41"/>
      <c r="B237" s="42"/>
      <c r="C237" s="42"/>
      <c r="D237" s="43"/>
      <c r="E237" s="42"/>
      <c r="F237" s="42"/>
    </row>
    <row r="238" customFormat="false" ht="15" hidden="false" customHeight="false" outlineLevel="0" collapsed="false">
      <c r="A238" s="41"/>
      <c r="B238" s="42"/>
      <c r="C238" s="42"/>
      <c r="D238" s="43"/>
      <c r="E238" s="42"/>
      <c r="F238" s="42"/>
    </row>
    <row r="239" customFormat="false" ht="15" hidden="false" customHeight="false" outlineLevel="0" collapsed="false">
      <c r="A239" s="41"/>
      <c r="B239" s="42"/>
      <c r="C239" s="42"/>
      <c r="D239" s="43"/>
      <c r="E239" s="42"/>
      <c r="F239" s="42"/>
    </row>
    <row r="240" customFormat="false" ht="15" hidden="false" customHeight="false" outlineLevel="0" collapsed="false">
      <c r="A240" s="41"/>
      <c r="B240" s="42"/>
      <c r="C240" s="42"/>
      <c r="D240" s="43"/>
      <c r="E240" s="42"/>
      <c r="F240" s="42"/>
    </row>
    <row r="241" customFormat="false" ht="15" hidden="false" customHeight="false" outlineLevel="0" collapsed="false">
      <c r="A241" s="41"/>
      <c r="B241" s="42"/>
      <c r="C241" s="42"/>
      <c r="D241" s="43"/>
      <c r="E241" s="42"/>
      <c r="F241" s="42"/>
    </row>
    <row r="242" customFormat="false" ht="15" hidden="false" customHeight="false" outlineLevel="0" collapsed="false">
      <c r="A242" s="41"/>
      <c r="B242" s="42"/>
      <c r="C242" s="42"/>
      <c r="D242" s="43"/>
      <c r="E242" s="42"/>
      <c r="F242" s="42"/>
    </row>
    <row r="243" customFormat="false" ht="15" hidden="false" customHeight="false" outlineLevel="0" collapsed="false">
      <c r="A243" s="41"/>
      <c r="B243" s="42"/>
      <c r="C243" s="42"/>
      <c r="D243" s="43"/>
      <c r="E243" s="42"/>
      <c r="F243" s="42"/>
    </row>
    <row r="244" customFormat="false" ht="15" hidden="false" customHeight="false" outlineLevel="0" collapsed="false">
      <c r="A244" s="41"/>
      <c r="B244" s="42"/>
      <c r="C244" s="42"/>
      <c r="D244" s="43"/>
      <c r="E244" s="42"/>
      <c r="F244" s="42"/>
    </row>
    <row r="245" customFormat="false" ht="15" hidden="false" customHeight="false" outlineLevel="0" collapsed="false">
      <c r="A245" s="41"/>
      <c r="B245" s="42"/>
      <c r="C245" s="42"/>
      <c r="D245" s="43"/>
      <c r="E245" s="42"/>
      <c r="F245" s="42"/>
    </row>
    <row r="246" customFormat="false" ht="15" hidden="false" customHeight="false" outlineLevel="0" collapsed="false">
      <c r="A246" s="41"/>
      <c r="B246" s="42"/>
      <c r="C246" s="42"/>
      <c r="D246" s="43"/>
      <c r="E246" s="42"/>
      <c r="F246" s="42"/>
    </row>
    <row r="247" customFormat="false" ht="15" hidden="false" customHeight="false" outlineLevel="0" collapsed="false">
      <c r="A247" s="41"/>
      <c r="B247" s="42"/>
      <c r="C247" s="42"/>
      <c r="D247" s="43"/>
      <c r="E247" s="42"/>
      <c r="F247" s="42"/>
    </row>
    <row r="248" customFormat="false" ht="15" hidden="false" customHeight="false" outlineLevel="0" collapsed="false">
      <c r="A248" s="41"/>
      <c r="B248" s="42"/>
      <c r="C248" s="42"/>
      <c r="D248" s="43"/>
      <c r="E248" s="42"/>
      <c r="F248" s="42"/>
    </row>
    <row r="249" customFormat="false" ht="15" hidden="false" customHeight="false" outlineLevel="0" collapsed="false">
      <c r="A249" s="41"/>
      <c r="B249" s="42"/>
      <c r="C249" s="42"/>
      <c r="D249" s="43"/>
      <c r="E249" s="42"/>
      <c r="F249" s="42"/>
    </row>
    <row r="250" customFormat="false" ht="15" hidden="false" customHeight="false" outlineLevel="0" collapsed="false">
      <c r="A250" s="41"/>
      <c r="B250" s="42"/>
      <c r="C250" s="42"/>
      <c r="D250" s="43"/>
      <c r="E250" s="42"/>
      <c r="F250" s="42"/>
    </row>
    <row r="251" customFormat="false" ht="15" hidden="false" customHeight="false" outlineLevel="0" collapsed="false">
      <c r="A251" s="41"/>
      <c r="B251" s="42"/>
      <c r="C251" s="42"/>
      <c r="D251" s="43"/>
      <c r="E251" s="42"/>
      <c r="F251" s="42"/>
    </row>
    <row r="252" customFormat="false" ht="15" hidden="false" customHeight="false" outlineLevel="0" collapsed="false">
      <c r="A252" s="41"/>
      <c r="B252" s="42"/>
      <c r="C252" s="42"/>
      <c r="D252" s="43"/>
      <c r="E252" s="42"/>
      <c r="F252" s="42"/>
    </row>
    <row r="253" customFormat="false" ht="15" hidden="false" customHeight="false" outlineLevel="0" collapsed="false">
      <c r="A253" s="41"/>
      <c r="B253" s="42"/>
      <c r="C253" s="42"/>
      <c r="D253" s="43"/>
      <c r="E253" s="42"/>
      <c r="F253" s="42"/>
    </row>
    <row r="254" customFormat="false" ht="15" hidden="false" customHeight="false" outlineLevel="0" collapsed="false">
      <c r="A254" s="41"/>
      <c r="B254" s="42"/>
      <c r="C254" s="42"/>
      <c r="D254" s="43"/>
      <c r="E254" s="42"/>
      <c r="F254" s="42"/>
    </row>
    <row r="255" customFormat="false" ht="15" hidden="false" customHeight="false" outlineLevel="0" collapsed="false">
      <c r="A255" s="41"/>
      <c r="B255" s="42"/>
      <c r="C255" s="42"/>
      <c r="D255" s="43"/>
      <c r="E255" s="42"/>
      <c r="F255" s="42"/>
    </row>
    <row r="256" customFormat="false" ht="15" hidden="false" customHeight="false" outlineLevel="0" collapsed="false">
      <c r="A256" s="41"/>
      <c r="B256" s="42"/>
      <c r="C256" s="42"/>
      <c r="D256" s="43"/>
      <c r="E256" s="42"/>
      <c r="F256" s="42"/>
    </row>
    <row r="257" customFormat="false" ht="15" hidden="false" customHeight="false" outlineLevel="0" collapsed="false">
      <c r="A257" s="41"/>
      <c r="B257" s="42"/>
      <c r="C257" s="42"/>
      <c r="D257" s="43"/>
      <c r="E257" s="42"/>
      <c r="F257" s="42"/>
    </row>
    <row r="258" customFormat="false" ht="15" hidden="false" customHeight="false" outlineLevel="0" collapsed="false">
      <c r="A258" s="41"/>
      <c r="B258" s="42"/>
      <c r="C258" s="42"/>
      <c r="D258" s="43"/>
      <c r="E258" s="42"/>
      <c r="F258" s="42"/>
    </row>
    <row r="259" customFormat="false" ht="15" hidden="false" customHeight="false" outlineLevel="0" collapsed="false">
      <c r="A259" s="41"/>
      <c r="B259" s="42"/>
      <c r="C259" s="42"/>
      <c r="D259" s="43"/>
      <c r="E259" s="42"/>
      <c r="F259" s="42"/>
    </row>
    <row r="260" customFormat="false" ht="15" hidden="false" customHeight="false" outlineLevel="0" collapsed="false">
      <c r="A260" s="41"/>
      <c r="B260" s="42"/>
      <c r="C260" s="42"/>
      <c r="D260" s="43"/>
      <c r="E260" s="42"/>
      <c r="F260" s="42"/>
    </row>
    <row r="261" customFormat="false" ht="15" hidden="false" customHeight="false" outlineLevel="0" collapsed="false">
      <c r="A261" s="41"/>
      <c r="B261" s="42"/>
      <c r="C261" s="42"/>
      <c r="D261" s="43"/>
      <c r="E261" s="42"/>
      <c r="F261" s="42"/>
    </row>
    <row r="262" customFormat="false" ht="15" hidden="false" customHeight="false" outlineLevel="0" collapsed="false">
      <c r="A262" s="41"/>
      <c r="B262" s="42"/>
      <c r="C262" s="42"/>
      <c r="D262" s="43"/>
      <c r="E262" s="42"/>
      <c r="F262" s="42"/>
    </row>
    <row r="263" customFormat="false" ht="15" hidden="false" customHeight="false" outlineLevel="0" collapsed="false">
      <c r="A263" s="41"/>
      <c r="B263" s="42"/>
      <c r="C263" s="42"/>
      <c r="D263" s="43"/>
      <c r="E263" s="42"/>
      <c r="F263" s="42"/>
    </row>
    <row r="264" customFormat="false" ht="15" hidden="false" customHeight="false" outlineLevel="0" collapsed="false">
      <c r="A264" s="41"/>
      <c r="B264" s="42"/>
      <c r="C264" s="42"/>
      <c r="D264" s="43"/>
      <c r="E264" s="42"/>
      <c r="F264" s="42"/>
    </row>
    <row r="265" customFormat="false" ht="15" hidden="false" customHeight="false" outlineLevel="0" collapsed="false">
      <c r="A265" s="41"/>
      <c r="B265" s="42"/>
      <c r="C265" s="42"/>
      <c r="D265" s="43"/>
      <c r="E265" s="42"/>
      <c r="F265" s="42"/>
    </row>
    <row r="266" customFormat="false" ht="15" hidden="false" customHeight="false" outlineLevel="0" collapsed="false">
      <c r="A266" s="41"/>
      <c r="B266" s="42"/>
      <c r="C266" s="42"/>
      <c r="D266" s="43"/>
      <c r="E266" s="42"/>
      <c r="F266" s="42"/>
    </row>
    <row r="267" customFormat="false" ht="15" hidden="false" customHeight="false" outlineLevel="0" collapsed="false">
      <c r="A267" s="41"/>
      <c r="B267" s="42"/>
      <c r="C267" s="42"/>
      <c r="D267" s="43"/>
      <c r="E267" s="42"/>
      <c r="F267" s="42"/>
    </row>
    <row r="268" customFormat="false" ht="15" hidden="false" customHeight="false" outlineLevel="0" collapsed="false">
      <c r="A268" s="41"/>
      <c r="B268" s="42"/>
      <c r="C268" s="42"/>
      <c r="D268" s="43"/>
      <c r="E268" s="42"/>
      <c r="F268" s="42"/>
    </row>
    <row r="269" customFormat="false" ht="15" hidden="false" customHeight="false" outlineLevel="0" collapsed="false">
      <c r="A269" s="41"/>
      <c r="B269" s="42"/>
      <c r="C269" s="42"/>
      <c r="D269" s="43"/>
      <c r="E269" s="42"/>
      <c r="F269" s="42"/>
    </row>
    <row r="270" customFormat="false" ht="15" hidden="false" customHeight="false" outlineLevel="0" collapsed="false">
      <c r="A270" s="41"/>
      <c r="B270" s="42"/>
      <c r="C270" s="42"/>
      <c r="D270" s="43"/>
      <c r="E270" s="42"/>
      <c r="F270" s="42"/>
    </row>
    <row r="271" customFormat="false" ht="15" hidden="false" customHeight="false" outlineLevel="0" collapsed="false">
      <c r="A271" s="41"/>
      <c r="B271" s="42"/>
      <c r="C271" s="42"/>
      <c r="D271" s="43"/>
      <c r="E271" s="42"/>
      <c r="F271" s="42"/>
    </row>
    <row r="272" customFormat="false" ht="15" hidden="false" customHeight="false" outlineLevel="0" collapsed="false">
      <c r="A272" s="41"/>
      <c r="B272" s="42"/>
      <c r="C272" s="42"/>
      <c r="D272" s="43"/>
      <c r="E272" s="42"/>
      <c r="F272" s="42"/>
    </row>
    <row r="273" customFormat="false" ht="15" hidden="false" customHeight="false" outlineLevel="0" collapsed="false">
      <c r="A273" s="41"/>
      <c r="B273" s="42"/>
      <c r="C273" s="42"/>
      <c r="D273" s="43"/>
      <c r="E273" s="42"/>
      <c r="F273" s="42"/>
    </row>
    <row r="274" customFormat="false" ht="15" hidden="false" customHeight="false" outlineLevel="0" collapsed="false">
      <c r="A274" s="41"/>
      <c r="B274" s="42"/>
      <c r="C274" s="42"/>
      <c r="D274" s="43"/>
      <c r="E274" s="42"/>
      <c r="F274" s="42"/>
    </row>
    <row r="275" customFormat="false" ht="15" hidden="false" customHeight="false" outlineLevel="0" collapsed="false">
      <c r="A275" s="41"/>
      <c r="B275" s="42"/>
      <c r="C275" s="42"/>
      <c r="D275" s="43"/>
      <c r="E275" s="42"/>
      <c r="F275" s="42"/>
    </row>
    <row r="276" customFormat="false" ht="15" hidden="false" customHeight="false" outlineLevel="0" collapsed="false">
      <c r="A276" s="41"/>
      <c r="B276" s="42"/>
      <c r="C276" s="42"/>
      <c r="D276" s="43"/>
      <c r="E276" s="42"/>
      <c r="F276" s="42"/>
    </row>
    <row r="277" customFormat="false" ht="15" hidden="false" customHeight="false" outlineLevel="0" collapsed="false">
      <c r="A277" s="41"/>
      <c r="B277" s="42"/>
      <c r="C277" s="42"/>
      <c r="D277" s="43"/>
      <c r="E277" s="42"/>
      <c r="F277" s="42"/>
    </row>
    <row r="278" customFormat="false" ht="15" hidden="false" customHeight="false" outlineLevel="0" collapsed="false">
      <c r="A278" s="41"/>
      <c r="B278" s="42"/>
      <c r="C278" s="42"/>
      <c r="D278" s="43"/>
      <c r="E278" s="42"/>
      <c r="F278" s="42"/>
    </row>
    <row r="279" customFormat="false" ht="15" hidden="false" customHeight="false" outlineLevel="0" collapsed="false">
      <c r="A279" s="41"/>
      <c r="B279" s="42"/>
      <c r="C279" s="42"/>
      <c r="D279" s="43"/>
      <c r="E279" s="42"/>
      <c r="F279" s="42"/>
    </row>
    <row r="280" customFormat="false" ht="15" hidden="false" customHeight="false" outlineLevel="0" collapsed="false">
      <c r="A280" s="41"/>
      <c r="B280" s="42"/>
      <c r="C280" s="42"/>
      <c r="D280" s="43"/>
      <c r="E280" s="42"/>
      <c r="F280" s="42"/>
    </row>
    <row r="281" customFormat="false" ht="15" hidden="false" customHeight="false" outlineLevel="0" collapsed="false">
      <c r="A281" s="41"/>
      <c r="B281" s="42"/>
      <c r="C281" s="42"/>
      <c r="D281" s="43"/>
      <c r="E281" s="42"/>
      <c r="F281" s="42"/>
    </row>
    <row r="282" customFormat="false" ht="15" hidden="false" customHeight="false" outlineLevel="0" collapsed="false">
      <c r="A282" s="41"/>
      <c r="B282" s="42"/>
      <c r="C282" s="42"/>
      <c r="D282" s="43"/>
      <c r="E282" s="42"/>
      <c r="F282" s="42"/>
    </row>
    <row r="283" customFormat="false" ht="15" hidden="false" customHeight="false" outlineLevel="0" collapsed="false">
      <c r="A283" s="41"/>
      <c r="B283" s="42"/>
      <c r="C283" s="42"/>
      <c r="D283" s="43"/>
      <c r="E283" s="42"/>
      <c r="F283" s="42"/>
    </row>
    <row r="284" customFormat="false" ht="15" hidden="false" customHeight="false" outlineLevel="0" collapsed="false">
      <c r="A284" s="41"/>
      <c r="B284" s="42"/>
      <c r="C284" s="42"/>
      <c r="D284" s="43"/>
      <c r="E284" s="42"/>
      <c r="F284" s="42"/>
    </row>
    <row r="285" customFormat="false" ht="15" hidden="false" customHeight="false" outlineLevel="0" collapsed="false">
      <c r="A285" s="41"/>
      <c r="B285" s="42"/>
      <c r="C285" s="42"/>
      <c r="D285" s="43"/>
      <c r="E285" s="42"/>
      <c r="F285" s="42"/>
    </row>
    <row r="286" customFormat="false" ht="15" hidden="false" customHeight="false" outlineLevel="0" collapsed="false">
      <c r="A286" s="41"/>
      <c r="B286" s="42"/>
      <c r="C286" s="42"/>
      <c r="D286" s="43"/>
      <c r="E286" s="42"/>
      <c r="F286" s="42"/>
    </row>
    <row r="287" customFormat="false" ht="15" hidden="false" customHeight="false" outlineLevel="0" collapsed="false">
      <c r="A287" s="41"/>
      <c r="B287" s="42"/>
      <c r="C287" s="42"/>
      <c r="D287" s="43"/>
      <c r="E287" s="42"/>
      <c r="F287" s="42"/>
    </row>
    <row r="288" customFormat="false" ht="15" hidden="false" customHeight="false" outlineLevel="0" collapsed="false">
      <c r="A288" s="41"/>
      <c r="B288" s="42"/>
      <c r="C288" s="42"/>
      <c r="D288" s="43"/>
      <c r="E288" s="42"/>
      <c r="F288" s="42"/>
    </row>
    <row r="289" customFormat="false" ht="15" hidden="false" customHeight="false" outlineLevel="0" collapsed="false">
      <c r="A289" s="41"/>
      <c r="B289" s="42"/>
      <c r="C289" s="42"/>
      <c r="D289" s="43"/>
      <c r="E289" s="42"/>
      <c r="F289" s="42"/>
    </row>
    <row r="290" customFormat="false" ht="15" hidden="false" customHeight="false" outlineLevel="0" collapsed="false">
      <c r="A290" s="41"/>
      <c r="B290" s="42"/>
      <c r="C290" s="42"/>
      <c r="D290" s="43"/>
      <c r="E290" s="42"/>
      <c r="F290" s="42"/>
    </row>
    <row r="291" customFormat="false" ht="15" hidden="false" customHeight="false" outlineLevel="0" collapsed="false">
      <c r="A291" s="41"/>
      <c r="B291" s="42"/>
      <c r="C291" s="42"/>
      <c r="D291" s="43"/>
      <c r="E291" s="42"/>
      <c r="F291" s="42"/>
    </row>
    <row r="292" customFormat="false" ht="15" hidden="false" customHeight="false" outlineLevel="0" collapsed="false">
      <c r="A292" s="41"/>
      <c r="B292" s="42"/>
      <c r="C292" s="42"/>
      <c r="D292" s="43"/>
      <c r="E292" s="42"/>
      <c r="F292" s="42"/>
    </row>
    <row r="293" customFormat="false" ht="15" hidden="false" customHeight="false" outlineLevel="0" collapsed="false">
      <c r="A293" s="41"/>
      <c r="B293" s="42"/>
      <c r="C293" s="42"/>
      <c r="D293" s="43"/>
      <c r="E293" s="42"/>
      <c r="F293" s="42"/>
    </row>
    <row r="294" customFormat="false" ht="15" hidden="false" customHeight="false" outlineLevel="0" collapsed="false">
      <c r="A294" s="41"/>
      <c r="B294" s="42"/>
      <c r="C294" s="42"/>
      <c r="D294" s="43"/>
      <c r="E294" s="42"/>
      <c r="F294" s="42"/>
    </row>
    <row r="295" customFormat="false" ht="15" hidden="false" customHeight="false" outlineLevel="0" collapsed="false">
      <c r="A295" s="41"/>
      <c r="B295" s="42"/>
      <c r="C295" s="42"/>
      <c r="D295" s="43"/>
      <c r="E295" s="42"/>
      <c r="F295" s="42"/>
    </row>
    <row r="296" customFormat="false" ht="15" hidden="false" customHeight="false" outlineLevel="0" collapsed="false">
      <c r="A296" s="41"/>
      <c r="B296" s="42"/>
      <c r="C296" s="42"/>
      <c r="D296" s="43"/>
      <c r="E296" s="42"/>
      <c r="F296" s="42"/>
    </row>
    <row r="297" customFormat="false" ht="15" hidden="false" customHeight="false" outlineLevel="0" collapsed="false">
      <c r="A297" s="41"/>
      <c r="B297" s="42"/>
      <c r="C297" s="42"/>
      <c r="D297" s="43"/>
      <c r="E297" s="42"/>
      <c r="F297" s="42"/>
    </row>
    <row r="298" customFormat="false" ht="15" hidden="false" customHeight="false" outlineLevel="0" collapsed="false">
      <c r="A298" s="41"/>
      <c r="B298" s="42"/>
      <c r="C298" s="42"/>
      <c r="D298" s="43"/>
      <c r="E298" s="42"/>
      <c r="F298" s="42"/>
    </row>
    <row r="299" customFormat="false" ht="15" hidden="false" customHeight="false" outlineLevel="0" collapsed="false">
      <c r="A299" s="41"/>
      <c r="B299" s="42"/>
      <c r="C299" s="42"/>
      <c r="D299" s="43"/>
      <c r="E299" s="42"/>
      <c r="F299" s="42"/>
    </row>
    <row r="300" customFormat="false" ht="15" hidden="false" customHeight="false" outlineLevel="0" collapsed="false">
      <c r="A300" s="41"/>
      <c r="B300" s="42"/>
      <c r="C300" s="42"/>
      <c r="D300" s="43"/>
      <c r="E300" s="42"/>
      <c r="F300" s="42"/>
    </row>
    <row r="301" customFormat="false" ht="15" hidden="false" customHeight="false" outlineLevel="0" collapsed="false">
      <c r="A301" s="41"/>
      <c r="B301" s="42"/>
      <c r="C301" s="42"/>
      <c r="D301" s="43"/>
      <c r="E301" s="42"/>
      <c r="F301" s="42"/>
    </row>
    <row r="302" customFormat="false" ht="15" hidden="false" customHeight="false" outlineLevel="0" collapsed="false">
      <c r="A302" s="41"/>
      <c r="B302" s="42"/>
      <c r="C302" s="42"/>
      <c r="D302" s="43"/>
      <c r="E302" s="42"/>
      <c r="F302" s="42"/>
    </row>
    <row r="303" customFormat="false" ht="15" hidden="false" customHeight="false" outlineLevel="0" collapsed="false">
      <c r="A303" s="41"/>
      <c r="B303" s="42"/>
      <c r="C303" s="42"/>
      <c r="D303" s="43"/>
      <c r="E303" s="42"/>
      <c r="F303" s="42"/>
    </row>
    <row r="304" customFormat="false" ht="15" hidden="false" customHeight="false" outlineLevel="0" collapsed="false">
      <c r="A304" s="41"/>
      <c r="B304" s="42"/>
      <c r="C304" s="42"/>
      <c r="D304" s="43"/>
      <c r="E304" s="42"/>
      <c r="F304" s="42"/>
    </row>
    <row r="305" customFormat="false" ht="15" hidden="false" customHeight="false" outlineLevel="0" collapsed="false">
      <c r="A305" s="41"/>
      <c r="B305" s="42"/>
      <c r="C305" s="42"/>
      <c r="D305" s="43"/>
      <c r="E305" s="42"/>
      <c r="F305" s="42"/>
    </row>
    <row r="306" customFormat="false" ht="15" hidden="false" customHeight="false" outlineLevel="0" collapsed="false">
      <c r="A306" s="41"/>
      <c r="B306" s="42"/>
      <c r="C306" s="42"/>
      <c r="D306" s="43"/>
      <c r="E306" s="42"/>
      <c r="F306" s="42"/>
    </row>
    <row r="307" customFormat="false" ht="15" hidden="false" customHeight="false" outlineLevel="0" collapsed="false">
      <c r="A307" s="41"/>
      <c r="B307" s="42"/>
      <c r="C307" s="42"/>
      <c r="D307" s="43"/>
      <c r="E307" s="42"/>
      <c r="F307" s="42"/>
    </row>
    <row r="308" customFormat="false" ht="15" hidden="false" customHeight="false" outlineLevel="0" collapsed="false">
      <c r="A308" s="41"/>
      <c r="B308" s="42"/>
      <c r="C308" s="42"/>
      <c r="D308" s="43"/>
      <c r="E308" s="42"/>
      <c r="F308" s="42"/>
    </row>
    <row r="309" customFormat="false" ht="15" hidden="false" customHeight="false" outlineLevel="0" collapsed="false">
      <c r="A309" s="41"/>
      <c r="B309" s="42"/>
      <c r="C309" s="42"/>
      <c r="D309" s="43"/>
      <c r="E309" s="42"/>
      <c r="F309" s="42"/>
    </row>
    <row r="310" customFormat="false" ht="15" hidden="false" customHeight="false" outlineLevel="0" collapsed="false">
      <c r="A310" s="41"/>
      <c r="B310" s="42"/>
      <c r="C310" s="42"/>
      <c r="D310" s="43"/>
      <c r="E310" s="42"/>
      <c r="F310" s="42"/>
    </row>
    <row r="311" customFormat="false" ht="15" hidden="false" customHeight="false" outlineLevel="0" collapsed="false">
      <c r="A311" s="41"/>
      <c r="B311" s="42"/>
      <c r="C311" s="42"/>
      <c r="D311" s="43"/>
      <c r="E311" s="42"/>
      <c r="F311" s="42"/>
    </row>
    <row r="312" customFormat="false" ht="15" hidden="false" customHeight="false" outlineLevel="0" collapsed="false">
      <c r="A312" s="41"/>
      <c r="B312" s="42"/>
      <c r="C312" s="42"/>
      <c r="D312" s="43"/>
      <c r="E312" s="42"/>
      <c r="F312" s="42"/>
    </row>
    <row r="313" customFormat="false" ht="15" hidden="false" customHeight="false" outlineLevel="0" collapsed="false">
      <c r="A313" s="41"/>
      <c r="B313" s="42"/>
      <c r="C313" s="42"/>
      <c r="D313" s="43"/>
      <c r="E313" s="42"/>
      <c r="F313" s="42"/>
    </row>
    <row r="314" customFormat="false" ht="15" hidden="false" customHeight="false" outlineLevel="0" collapsed="false">
      <c r="A314" s="41"/>
      <c r="B314" s="42"/>
      <c r="C314" s="42"/>
      <c r="D314" s="43"/>
      <c r="E314" s="42"/>
      <c r="F314" s="42"/>
    </row>
    <row r="315" customFormat="false" ht="15" hidden="false" customHeight="false" outlineLevel="0" collapsed="false">
      <c r="A315" s="41"/>
      <c r="B315" s="42"/>
      <c r="C315" s="42"/>
      <c r="D315" s="43"/>
      <c r="E315" s="42"/>
      <c r="F315" s="42"/>
    </row>
    <row r="316" customFormat="false" ht="15" hidden="false" customHeight="false" outlineLevel="0" collapsed="false">
      <c r="A316" s="41"/>
      <c r="B316" s="42"/>
      <c r="C316" s="42"/>
      <c r="D316" s="43"/>
      <c r="E316" s="42"/>
      <c r="F316" s="42"/>
    </row>
    <row r="317" customFormat="false" ht="15" hidden="false" customHeight="false" outlineLevel="0" collapsed="false">
      <c r="A317" s="41"/>
      <c r="B317" s="42"/>
      <c r="C317" s="42"/>
      <c r="D317" s="43"/>
      <c r="E317" s="42"/>
      <c r="F317" s="42"/>
    </row>
    <row r="318" customFormat="false" ht="15" hidden="false" customHeight="false" outlineLevel="0" collapsed="false">
      <c r="A318" s="41"/>
      <c r="B318" s="42"/>
      <c r="C318" s="42"/>
      <c r="D318" s="43"/>
      <c r="E318" s="42"/>
      <c r="F318" s="42"/>
    </row>
    <row r="319" customFormat="false" ht="15" hidden="false" customHeight="false" outlineLevel="0" collapsed="false">
      <c r="A319" s="41"/>
      <c r="B319" s="42"/>
      <c r="C319" s="42"/>
      <c r="D319" s="43"/>
      <c r="E319" s="42"/>
      <c r="F319" s="42"/>
    </row>
    <row r="320" customFormat="false" ht="15" hidden="false" customHeight="false" outlineLevel="0" collapsed="false">
      <c r="A320" s="41"/>
      <c r="B320" s="42"/>
      <c r="C320" s="42"/>
      <c r="D320" s="43"/>
      <c r="E320" s="42"/>
      <c r="F320" s="42"/>
    </row>
    <row r="321" customFormat="false" ht="15" hidden="false" customHeight="false" outlineLevel="0" collapsed="false">
      <c r="A321" s="41"/>
      <c r="B321" s="42"/>
      <c r="C321" s="42"/>
      <c r="D321" s="43"/>
      <c r="E321" s="42"/>
      <c r="F321" s="42"/>
    </row>
    <row r="322" customFormat="false" ht="15" hidden="false" customHeight="false" outlineLevel="0" collapsed="false">
      <c r="A322" s="41"/>
      <c r="B322" s="42"/>
      <c r="C322" s="42"/>
      <c r="D322" s="43"/>
      <c r="E322" s="42"/>
      <c r="F322" s="42"/>
    </row>
    <row r="323" customFormat="false" ht="15" hidden="false" customHeight="false" outlineLevel="0" collapsed="false">
      <c r="A323" s="41"/>
      <c r="B323" s="42"/>
      <c r="C323" s="42"/>
      <c r="D323" s="43"/>
      <c r="E323" s="42"/>
      <c r="F323" s="42"/>
    </row>
    <row r="324" customFormat="false" ht="15" hidden="false" customHeight="false" outlineLevel="0" collapsed="false">
      <c r="A324" s="41"/>
      <c r="B324" s="42"/>
      <c r="C324" s="42"/>
      <c r="D324" s="43"/>
      <c r="E324" s="42"/>
      <c r="F324" s="42"/>
    </row>
    <row r="325" customFormat="false" ht="15" hidden="false" customHeight="false" outlineLevel="0" collapsed="false">
      <c r="A325" s="41"/>
      <c r="B325" s="42"/>
      <c r="C325" s="42"/>
      <c r="D325" s="43"/>
      <c r="E325" s="42"/>
      <c r="F325" s="42"/>
    </row>
    <row r="326" customFormat="false" ht="15" hidden="false" customHeight="false" outlineLevel="0" collapsed="false">
      <c r="A326" s="41"/>
      <c r="B326" s="42"/>
      <c r="C326" s="42"/>
      <c r="D326" s="43"/>
      <c r="E326" s="42"/>
      <c r="F326" s="42"/>
    </row>
    <row r="327" customFormat="false" ht="15" hidden="false" customHeight="false" outlineLevel="0" collapsed="false">
      <c r="A327" s="41"/>
      <c r="B327" s="42"/>
      <c r="C327" s="42"/>
      <c r="D327" s="43"/>
      <c r="E327" s="42"/>
      <c r="F327" s="42"/>
    </row>
    <row r="328" customFormat="false" ht="15" hidden="false" customHeight="false" outlineLevel="0" collapsed="false">
      <c r="A328" s="41"/>
      <c r="B328" s="42"/>
      <c r="C328" s="42"/>
      <c r="D328" s="43"/>
      <c r="E328" s="42"/>
      <c r="F328" s="42"/>
    </row>
    <row r="329" customFormat="false" ht="15" hidden="false" customHeight="false" outlineLevel="0" collapsed="false">
      <c r="A329" s="41"/>
      <c r="B329" s="42"/>
      <c r="C329" s="42"/>
      <c r="D329" s="43"/>
      <c r="E329" s="42"/>
      <c r="F329" s="42"/>
    </row>
    <row r="330" customFormat="false" ht="15" hidden="false" customHeight="false" outlineLevel="0" collapsed="false">
      <c r="A330" s="41"/>
      <c r="B330" s="42"/>
      <c r="C330" s="42"/>
      <c r="D330" s="43"/>
      <c r="E330" s="42"/>
      <c r="F330" s="42"/>
    </row>
    <row r="331" customFormat="false" ht="15" hidden="false" customHeight="false" outlineLevel="0" collapsed="false">
      <c r="A331" s="41"/>
      <c r="B331" s="42"/>
      <c r="C331" s="42"/>
      <c r="D331" s="43"/>
      <c r="E331" s="42"/>
      <c r="F331" s="42"/>
    </row>
    <row r="332" customFormat="false" ht="15" hidden="false" customHeight="false" outlineLevel="0" collapsed="false">
      <c r="A332" s="41"/>
      <c r="B332" s="42"/>
      <c r="C332" s="42"/>
      <c r="D332" s="43"/>
      <c r="E332" s="42"/>
      <c r="F332" s="42"/>
    </row>
    <row r="333" customFormat="false" ht="15" hidden="false" customHeight="false" outlineLevel="0" collapsed="false">
      <c r="A333" s="41"/>
      <c r="B333" s="42"/>
      <c r="C333" s="42"/>
      <c r="D333" s="43"/>
      <c r="E333" s="42"/>
      <c r="F333" s="42"/>
    </row>
    <row r="334" customFormat="false" ht="15" hidden="false" customHeight="false" outlineLevel="0" collapsed="false">
      <c r="A334" s="41"/>
      <c r="B334" s="42"/>
      <c r="C334" s="42"/>
      <c r="D334" s="43"/>
      <c r="E334" s="42"/>
      <c r="F334" s="42"/>
    </row>
    <row r="335" customFormat="false" ht="15" hidden="false" customHeight="false" outlineLevel="0" collapsed="false">
      <c r="A335" s="41"/>
      <c r="B335" s="42"/>
      <c r="C335" s="42"/>
      <c r="D335" s="43"/>
      <c r="E335" s="42"/>
      <c r="F335" s="42"/>
    </row>
    <row r="336" customFormat="false" ht="15" hidden="false" customHeight="false" outlineLevel="0" collapsed="false">
      <c r="A336" s="41"/>
      <c r="B336" s="42"/>
      <c r="C336" s="42"/>
      <c r="D336" s="43"/>
      <c r="E336" s="42"/>
      <c r="F336" s="42"/>
    </row>
    <row r="337" customFormat="false" ht="15" hidden="false" customHeight="false" outlineLevel="0" collapsed="false">
      <c r="A337" s="41"/>
      <c r="B337" s="42"/>
      <c r="C337" s="42"/>
      <c r="D337" s="43"/>
      <c r="E337" s="42"/>
      <c r="F337" s="42"/>
    </row>
    <row r="338" customFormat="false" ht="15" hidden="false" customHeight="false" outlineLevel="0" collapsed="false">
      <c r="A338" s="41"/>
      <c r="B338" s="42"/>
      <c r="C338" s="42"/>
      <c r="D338" s="43"/>
      <c r="E338" s="42"/>
      <c r="F338" s="42"/>
    </row>
    <row r="339" customFormat="false" ht="15" hidden="false" customHeight="false" outlineLevel="0" collapsed="false">
      <c r="A339" s="41"/>
      <c r="B339" s="42"/>
      <c r="C339" s="42"/>
      <c r="D339" s="43"/>
      <c r="E339" s="42"/>
      <c r="F339" s="42"/>
    </row>
    <row r="340" customFormat="false" ht="15" hidden="false" customHeight="false" outlineLevel="0" collapsed="false">
      <c r="A340" s="41"/>
      <c r="B340" s="42"/>
      <c r="C340" s="42"/>
      <c r="D340" s="43"/>
      <c r="E340" s="42"/>
      <c r="F340" s="42"/>
    </row>
    <row r="341" customFormat="false" ht="15" hidden="false" customHeight="false" outlineLevel="0" collapsed="false">
      <c r="A341" s="41"/>
      <c r="B341" s="42"/>
      <c r="C341" s="42"/>
      <c r="D341" s="43"/>
      <c r="E341" s="42"/>
      <c r="F341" s="42"/>
    </row>
    <row r="342" customFormat="false" ht="15" hidden="false" customHeight="false" outlineLevel="0" collapsed="false">
      <c r="A342" s="41"/>
      <c r="B342" s="42"/>
      <c r="C342" s="42"/>
      <c r="D342" s="43"/>
      <c r="E342" s="42"/>
      <c r="F342" s="42"/>
    </row>
    <row r="343" customFormat="false" ht="15" hidden="false" customHeight="false" outlineLevel="0" collapsed="false">
      <c r="A343" s="41"/>
      <c r="B343" s="42"/>
      <c r="C343" s="42"/>
      <c r="D343" s="43"/>
      <c r="E343" s="42"/>
      <c r="F343" s="42"/>
    </row>
    <row r="344" customFormat="false" ht="15" hidden="false" customHeight="false" outlineLevel="0" collapsed="false">
      <c r="A344" s="41"/>
      <c r="B344" s="42"/>
      <c r="C344" s="42"/>
      <c r="D344" s="43"/>
      <c r="E344" s="42"/>
      <c r="F344" s="42"/>
    </row>
    <row r="345" customFormat="false" ht="15" hidden="false" customHeight="false" outlineLevel="0" collapsed="false">
      <c r="A345" s="41"/>
      <c r="B345" s="42"/>
      <c r="C345" s="42"/>
      <c r="D345" s="43"/>
      <c r="E345" s="42"/>
      <c r="F345" s="42"/>
    </row>
    <row r="346" customFormat="false" ht="15" hidden="false" customHeight="false" outlineLevel="0" collapsed="false">
      <c r="A346" s="41"/>
      <c r="B346" s="42"/>
      <c r="C346" s="42"/>
      <c r="D346" s="43"/>
      <c r="E346" s="42"/>
      <c r="F346" s="42"/>
    </row>
    <row r="347" customFormat="false" ht="15" hidden="false" customHeight="false" outlineLevel="0" collapsed="false">
      <c r="A347" s="41"/>
      <c r="B347" s="42"/>
      <c r="C347" s="42"/>
      <c r="D347" s="43"/>
      <c r="E347" s="42"/>
      <c r="F347" s="42"/>
    </row>
    <row r="348" customFormat="false" ht="15" hidden="false" customHeight="false" outlineLevel="0" collapsed="false">
      <c r="A348" s="41"/>
      <c r="B348" s="42"/>
      <c r="C348" s="42"/>
      <c r="D348" s="43"/>
      <c r="E348" s="42"/>
      <c r="F348" s="42"/>
    </row>
    <row r="349" customFormat="false" ht="15" hidden="false" customHeight="false" outlineLevel="0" collapsed="false">
      <c r="A349" s="41"/>
      <c r="B349" s="42"/>
      <c r="C349" s="42"/>
      <c r="D349" s="43"/>
      <c r="E349" s="42"/>
      <c r="F349" s="42"/>
    </row>
    <row r="350" customFormat="false" ht="15" hidden="false" customHeight="false" outlineLevel="0" collapsed="false">
      <c r="A350" s="41"/>
      <c r="B350" s="42"/>
      <c r="C350" s="42"/>
      <c r="D350" s="43"/>
      <c r="E350" s="42"/>
      <c r="F350" s="42"/>
    </row>
    <row r="351" customFormat="false" ht="15" hidden="false" customHeight="false" outlineLevel="0" collapsed="false">
      <c r="A351" s="41"/>
      <c r="B351" s="42"/>
      <c r="C351" s="42"/>
      <c r="D351" s="43"/>
      <c r="E351" s="42"/>
      <c r="F351" s="42"/>
    </row>
    <row r="352" customFormat="false" ht="15" hidden="false" customHeight="false" outlineLevel="0" collapsed="false">
      <c r="A352" s="41"/>
      <c r="B352" s="42"/>
      <c r="C352" s="42"/>
      <c r="D352" s="43"/>
      <c r="E352" s="42"/>
      <c r="F352" s="42"/>
    </row>
    <row r="353" customFormat="false" ht="15" hidden="false" customHeight="false" outlineLevel="0" collapsed="false">
      <c r="A353" s="41"/>
      <c r="B353" s="42"/>
      <c r="C353" s="42"/>
      <c r="D353" s="43"/>
      <c r="E353" s="42"/>
      <c r="F353" s="42"/>
    </row>
    <row r="354" customFormat="false" ht="15" hidden="false" customHeight="false" outlineLevel="0" collapsed="false">
      <c r="A354" s="41"/>
      <c r="B354" s="42"/>
      <c r="C354" s="42"/>
      <c r="D354" s="43"/>
      <c r="E354" s="42"/>
      <c r="F354" s="42"/>
    </row>
    <row r="355" customFormat="false" ht="15" hidden="false" customHeight="false" outlineLevel="0" collapsed="false">
      <c r="A355" s="41"/>
      <c r="B355" s="42"/>
      <c r="C355" s="42"/>
      <c r="D355" s="43"/>
      <c r="E355" s="42"/>
      <c r="F355" s="42"/>
    </row>
    <row r="356" customFormat="false" ht="15" hidden="false" customHeight="false" outlineLevel="0" collapsed="false">
      <c r="A356" s="41"/>
      <c r="B356" s="42"/>
      <c r="C356" s="42"/>
      <c r="D356" s="43"/>
      <c r="E356" s="42"/>
      <c r="F356" s="42"/>
    </row>
    <row r="357" customFormat="false" ht="15" hidden="false" customHeight="false" outlineLevel="0" collapsed="false">
      <c r="A357" s="41"/>
      <c r="B357" s="42"/>
      <c r="C357" s="42"/>
      <c r="D357" s="43"/>
      <c r="E357" s="42"/>
      <c r="F357" s="42"/>
    </row>
    <row r="358" customFormat="false" ht="15" hidden="false" customHeight="false" outlineLevel="0" collapsed="false">
      <c r="A358" s="41"/>
      <c r="B358" s="42"/>
      <c r="C358" s="42"/>
      <c r="D358" s="43"/>
      <c r="E358" s="42"/>
      <c r="F358" s="42"/>
    </row>
    <row r="359" customFormat="false" ht="15" hidden="false" customHeight="false" outlineLevel="0" collapsed="false">
      <c r="A359" s="41"/>
      <c r="B359" s="42"/>
      <c r="C359" s="42"/>
      <c r="D359" s="43"/>
      <c r="E359" s="42"/>
      <c r="F359" s="42"/>
    </row>
    <row r="360" customFormat="false" ht="15" hidden="false" customHeight="false" outlineLevel="0" collapsed="false">
      <c r="A360" s="41"/>
      <c r="B360" s="42"/>
      <c r="C360" s="42"/>
      <c r="D360" s="43"/>
      <c r="E360" s="42"/>
      <c r="F360" s="42"/>
    </row>
    <row r="361" customFormat="false" ht="15" hidden="false" customHeight="false" outlineLevel="0" collapsed="false">
      <c r="A361" s="41"/>
      <c r="B361" s="42"/>
      <c r="C361" s="42"/>
      <c r="D361" s="43"/>
      <c r="E361" s="42"/>
      <c r="F361" s="42"/>
    </row>
    <row r="362" customFormat="false" ht="15" hidden="false" customHeight="false" outlineLevel="0" collapsed="false">
      <c r="A362" s="41"/>
      <c r="B362" s="42"/>
      <c r="C362" s="42"/>
      <c r="D362" s="43"/>
      <c r="E362" s="42"/>
      <c r="F362" s="42"/>
    </row>
    <row r="363" customFormat="false" ht="15" hidden="false" customHeight="false" outlineLevel="0" collapsed="false">
      <c r="A363" s="41"/>
      <c r="B363" s="42"/>
      <c r="C363" s="42"/>
      <c r="D363" s="43"/>
      <c r="E363" s="42"/>
      <c r="F363" s="42"/>
    </row>
    <row r="364" customFormat="false" ht="15" hidden="false" customHeight="false" outlineLevel="0" collapsed="false">
      <c r="A364" s="41"/>
      <c r="B364" s="42"/>
      <c r="C364" s="42"/>
      <c r="D364" s="43"/>
      <c r="E364" s="42"/>
      <c r="F364" s="42"/>
    </row>
    <row r="365" customFormat="false" ht="15" hidden="false" customHeight="false" outlineLevel="0" collapsed="false">
      <c r="A365" s="41"/>
      <c r="B365" s="42"/>
      <c r="C365" s="42"/>
      <c r="D365" s="43"/>
      <c r="E365" s="42"/>
      <c r="F365" s="42"/>
    </row>
    <row r="366" customFormat="false" ht="15" hidden="false" customHeight="false" outlineLevel="0" collapsed="false">
      <c r="A366" s="41"/>
      <c r="B366" s="42"/>
      <c r="C366" s="42"/>
      <c r="D366" s="43"/>
      <c r="E366" s="42"/>
      <c r="F366" s="42"/>
    </row>
    <row r="367" customFormat="false" ht="15" hidden="false" customHeight="false" outlineLevel="0" collapsed="false">
      <c r="A367" s="41"/>
      <c r="B367" s="42"/>
      <c r="C367" s="42"/>
      <c r="D367" s="43"/>
      <c r="E367" s="42"/>
      <c r="F367" s="42"/>
    </row>
    <row r="368" customFormat="false" ht="15" hidden="false" customHeight="false" outlineLevel="0" collapsed="false">
      <c r="A368" s="41"/>
      <c r="B368" s="42"/>
      <c r="C368" s="42"/>
      <c r="D368" s="43"/>
      <c r="E368" s="42"/>
      <c r="F368" s="42"/>
    </row>
    <row r="369" customFormat="false" ht="15" hidden="false" customHeight="false" outlineLevel="0" collapsed="false">
      <c r="A369" s="41"/>
      <c r="B369" s="42"/>
      <c r="C369" s="42"/>
      <c r="D369" s="43"/>
      <c r="E369" s="42"/>
      <c r="F369" s="42"/>
    </row>
    <row r="370" customFormat="false" ht="15" hidden="false" customHeight="false" outlineLevel="0" collapsed="false">
      <c r="A370" s="41"/>
      <c r="B370" s="42"/>
      <c r="C370" s="42"/>
      <c r="D370" s="43"/>
      <c r="E370" s="42"/>
      <c r="F370" s="42"/>
    </row>
    <row r="371" customFormat="false" ht="15" hidden="false" customHeight="false" outlineLevel="0" collapsed="false">
      <c r="A371" s="41"/>
      <c r="B371" s="42"/>
      <c r="C371" s="42"/>
      <c r="D371" s="43"/>
      <c r="E371" s="42"/>
      <c r="F371" s="42"/>
    </row>
    <row r="372" customFormat="false" ht="15" hidden="false" customHeight="false" outlineLevel="0" collapsed="false">
      <c r="A372" s="41"/>
      <c r="B372" s="42"/>
      <c r="C372" s="42"/>
      <c r="D372" s="43"/>
      <c r="E372" s="42"/>
      <c r="F372" s="42"/>
    </row>
    <row r="373" customFormat="false" ht="15" hidden="false" customHeight="false" outlineLevel="0" collapsed="false">
      <c r="A373" s="41"/>
      <c r="B373" s="42"/>
      <c r="C373" s="42"/>
      <c r="D373" s="43"/>
      <c r="E373" s="42"/>
      <c r="F373" s="42"/>
    </row>
    <row r="374" customFormat="false" ht="15" hidden="false" customHeight="false" outlineLevel="0" collapsed="false">
      <c r="A374" s="41"/>
      <c r="B374" s="42"/>
      <c r="C374" s="42"/>
      <c r="D374" s="43"/>
      <c r="E374" s="42"/>
      <c r="F374" s="42"/>
    </row>
    <row r="375" customFormat="false" ht="15" hidden="false" customHeight="false" outlineLevel="0" collapsed="false">
      <c r="A375" s="41"/>
      <c r="B375" s="42"/>
      <c r="C375" s="42"/>
      <c r="D375" s="43"/>
      <c r="E375" s="42"/>
      <c r="F375" s="42"/>
    </row>
    <row r="376" customFormat="false" ht="15" hidden="false" customHeight="false" outlineLevel="0" collapsed="false">
      <c r="A376" s="41"/>
      <c r="B376" s="42"/>
      <c r="C376" s="42"/>
      <c r="D376" s="43"/>
      <c r="E376" s="42"/>
      <c r="F376" s="42"/>
    </row>
    <row r="377" customFormat="false" ht="15" hidden="false" customHeight="false" outlineLevel="0" collapsed="false">
      <c r="A377" s="41"/>
      <c r="B377" s="42"/>
      <c r="C377" s="42"/>
      <c r="D377" s="43"/>
      <c r="E377" s="42"/>
      <c r="F377" s="42"/>
    </row>
    <row r="378" customFormat="false" ht="15" hidden="false" customHeight="false" outlineLevel="0" collapsed="false">
      <c r="A378" s="41"/>
      <c r="B378" s="42"/>
      <c r="C378" s="42"/>
      <c r="D378" s="43"/>
      <c r="E378" s="42"/>
      <c r="F378" s="42"/>
    </row>
    <row r="379" customFormat="false" ht="15" hidden="false" customHeight="false" outlineLevel="0" collapsed="false">
      <c r="A379" s="41"/>
      <c r="B379" s="42"/>
      <c r="C379" s="42"/>
      <c r="D379" s="43"/>
      <c r="E379" s="42"/>
      <c r="F379" s="42"/>
    </row>
    <row r="380" customFormat="false" ht="15" hidden="false" customHeight="false" outlineLevel="0" collapsed="false">
      <c r="A380" s="41"/>
      <c r="B380" s="42"/>
      <c r="C380" s="42"/>
      <c r="D380" s="43"/>
      <c r="E380" s="42"/>
      <c r="F380" s="42"/>
    </row>
    <row r="381" customFormat="false" ht="15" hidden="false" customHeight="false" outlineLevel="0" collapsed="false">
      <c r="A381" s="41"/>
      <c r="B381" s="42"/>
      <c r="C381" s="42"/>
      <c r="D381" s="43"/>
      <c r="E381" s="42"/>
      <c r="F381" s="42"/>
    </row>
    <row r="382" customFormat="false" ht="15" hidden="false" customHeight="false" outlineLevel="0" collapsed="false">
      <c r="A382" s="41"/>
      <c r="B382" s="42"/>
      <c r="C382" s="42"/>
      <c r="D382" s="43"/>
      <c r="E382" s="42"/>
      <c r="F382" s="42"/>
    </row>
    <row r="383" customFormat="false" ht="15" hidden="false" customHeight="false" outlineLevel="0" collapsed="false">
      <c r="A383" s="41"/>
      <c r="B383" s="42"/>
      <c r="C383" s="42"/>
      <c r="D383" s="43"/>
      <c r="E383" s="42"/>
      <c r="F383" s="42"/>
    </row>
    <row r="384" customFormat="false" ht="15" hidden="false" customHeight="false" outlineLevel="0" collapsed="false">
      <c r="A384" s="41"/>
      <c r="B384" s="42"/>
      <c r="C384" s="42"/>
      <c r="D384" s="43"/>
      <c r="E384" s="42"/>
      <c r="F384" s="42"/>
    </row>
    <row r="385" customFormat="false" ht="15" hidden="false" customHeight="false" outlineLevel="0" collapsed="false">
      <c r="A385" s="41"/>
      <c r="B385" s="42"/>
      <c r="C385" s="42"/>
      <c r="D385" s="43"/>
      <c r="E385" s="42"/>
      <c r="F385" s="42"/>
    </row>
    <row r="386" customFormat="false" ht="15" hidden="false" customHeight="false" outlineLevel="0" collapsed="false">
      <c r="A386" s="41"/>
      <c r="B386" s="42"/>
      <c r="C386" s="42"/>
      <c r="D386" s="43"/>
      <c r="E386" s="42"/>
      <c r="F386" s="42"/>
    </row>
    <row r="387" customFormat="false" ht="15" hidden="false" customHeight="false" outlineLevel="0" collapsed="false">
      <c r="A387" s="41"/>
      <c r="B387" s="42"/>
      <c r="C387" s="42"/>
      <c r="D387" s="43"/>
      <c r="E387" s="42"/>
      <c r="F387" s="42"/>
    </row>
    <row r="388" customFormat="false" ht="15" hidden="false" customHeight="false" outlineLevel="0" collapsed="false">
      <c r="A388" s="41"/>
      <c r="B388" s="42"/>
      <c r="C388" s="42"/>
      <c r="D388" s="43"/>
      <c r="E388" s="42"/>
      <c r="F388" s="42"/>
    </row>
    <row r="389" customFormat="false" ht="15" hidden="false" customHeight="false" outlineLevel="0" collapsed="false">
      <c r="A389" s="41"/>
      <c r="B389" s="42"/>
      <c r="C389" s="42"/>
      <c r="D389" s="43"/>
      <c r="E389" s="42"/>
      <c r="F389" s="42"/>
    </row>
    <row r="390" customFormat="false" ht="15" hidden="false" customHeight="false" outlineLevel="0" collapsed="false">
      <c r="A390" s="41"/>
      <c r="B390" s="42"/>
      <c r="C390" s="42"/>
      <c r="D390" s="43"/>
      <c r="E390" s="42"/>
      <c r="F390" s="42"/>
    </row>
    <row r="391" customFormat="false" ht="15" hidden="false" customHeight="false" outlineLevel="0" collapsed="false">
      <c r="A391" s="41"/>
      <c r="B391" s="42"/>
      <c r="C391" s="42"/>
      <c r="D391" s="43"/>
      <c r="E391" s="42"/>
      <c r="F391" s="42"/>
    </row>
    <row r="392" customFormat="false" ht="15" hidden="false" customHeight="false" outlineLevel="0" collapsed="false">
      <c r="A392" s="41"/>
      <c r="B392" s="42"/>
      <c r="C392" s="42"/>
      <c r="D392" s="43"/>
      <c r="E392" s="42"/>
      <c r="F392" s="42"/>
    </row>
    <row r="393" customFormat="false" ht="15" hidden="false" customHeight="false" outlineLevel="0" collapsed="false">
      <c r="A393" s="41"/>
      <c r="B393" s="42"/>
      <c r="C393" s="42"/>
      <c r="D393" s="43"/>
      <c r="E393" s="42"/>
      <c r="F393" s="42"/>
    </row>
    <row r="394" customFormat="false" ht="15" hidden="false" customHeight="false" outlineLevel="0" collapsed="false">
      <c r="A394" s="41"/>
      <c r="B394" s="42"/>
      <c r="C394" s="42"/>
      <c r="D394" s="43"/>
      <c r="E394" s="42"/>
      <c r="F394" s="42"/>
    </row>
    <row r="395" customFormat="false" ht="15" hidden="false" customHeight="false" outlineLevel="0" collapsed="false">
      <c r="A395" s="41"/>
      <c r="B395" s="42"/>
      <c r="C395" s="42"/>
      <c r="D395" s="43"/>
      <c r="E395" s="42"/>
      <c r="F395" s="42"/>
    </row>
    <row r="396" customFormat="false" ht="15" hidden="false" customHeight="false" outlineLevel="0" collapsed="false">
      <c r="A396" s="41"/>
      <c r="B396" s="42"/>
      <c r="C396" s="42"/>
      <c r="D396" s="43"/>
      <c r="E396" s="42"/>
      <c r="F396" s="42"/>
    </row>
    <row r="397" customFormat="false" ht="15" hidden="false" customHeight="false" outlineLevel="0" collapsed="false">
      <c r="A397" s="41"/>
      <c r="B397" s="42"/>
      <c r="C397" s="42"/>
      <c r="D397" s="43"/>
      <c r="E397" s="42"/>
      <c r="F397" s="42"/>
    </row>
    <row r="398" customFormat="false" ht="15" hidden="false" customHeight="false" outlineLevel="0" collapsed="false">
      <c r="A398" s="41"/>
      <c r="B398" s="42"/>
      <c r="C398" s="42"/>
      <c r="D398" s="43"/>
      <c r="E398" s="42"/>
      <c r="F398" s="42"/>
    </row>
    <row r="399" customFormat="false" ht="15" hidden="false" customHeight="false" outlineLevel="0" collapsed="false">
      <c r="A399" s="41"/>
      <c r="B399" s="42"/>
      <c r="C399" s="42"/>
      <c r="D399" s="43"/>
      <c r="E399" s="42"/>
      <c r="F399" s="42"/>
    </row>
    <row r="400" customFormat="false" ht="15" hidden="false" customHeight="false" outlineLevel="0" collapsed="false">
      <c r="A400" s="41"/>
      <c r="B400" s="42"/>
      <c r="C400" s="42"/>
      <c r="D400" s="43"/>
      <c r="E400" s="42"/>
      <c r="F400" s="42"/>
    </row>
    <row r="401" customFormat="false" ht="15" hidden="false" customHeight="false" outlineLevel="0" collapsed="false">
      <c r="A401" s="41"/>
      <c r="B401" s="42"/>
      <c r="C401" s="42"/>
      <c r="D401" s="43"/>
      <c r="E401" s="42"/>
      <c r="F401" s="42"/>
    </row>
    <row r="402" customFormat="false" ht="15" hidden="false" customHeight="false" outlineLevel="0" collapsed="false">
      <c r="A402" s="41"/>
      <c r="B402" s="42"/>
      <c r="C402" s="42"/>
      <c r="D402" s="43"/>
      <c r="E402" s="42"/>
      <c r="F402" s="42"/>
    </row>
    <row r="403" customFormat="false" ht="15" hidden="false" customHeight="false" outlineLevel="0" collapsed="false">
      <c r="A403" s="41"/>
      <c r="B403" s="42"/>
      <c r="C403" s="42"/>
      <c r="D403" s="43"/>
      <c r="E403" s="42"/>
      <c r="F403" s="42"/>
    </row>
    <row r="404" customFormat="false" ht="15" hidden="false" customHeight="false" outlineLevel="0" collapsed="false">
      <c r="A404" s="41"/>
      <c r="B404" s="42"/>
      <c r="C404" s="42"/>
      <c r="D404" s="43"/>
      <c r="E404" s="42"/>
      <c r="F404" s="42"/>
    </row>
    <row r="405" customFormat="false" ht="15" hidden="false" customHeight="false" outlineLevel="0" collapsed="false">
      <c r="A405" s="41"/>
      <c r="B405" s="42"/>
      <c r="C405" s="42"/>
      <c r="D405" s="43"/>
      <c r="E405" s="42"/>
      <c r="F405" s="42"/>
    </row>
    <row r="406" customFormat="false" ht="15" hidden="false" customHeight="false" outlineLevel="0" collapsed="false">
      <c r="A406" s="41"/>
      <c r="B406" s="42"/>
      <c r="C406" s="42"/>
      <c r="D406" s="43"/>
      <c r="E406" s="42"/>
      <c r="F406" s="42"/>
    </row>
    <row r="407" customFormat="false" ht="15" hidden="false" customHeight="false" outlineLevel="0" collapsed="false">
      <c r="A407" s="41"/>
      <c r="B407" s="42"/>
      <c r="C407" s="42"/>
      <c r="D407" s="43"/>
      <c r="E407" s="42"/>
      <c r="F407" s="42"/>
    </row>
    <row r="408" customFormat="false" ht="15" hidden="false" customHeight="false" outlineLevel="0" collapsed="false">
      <c r="A408" s="41"/>
      <c r="B408" s="42"/>
      <c r="C408" s="42"/>
      <c r="D408" s="43"/>
      <c r="E408" s="42"/>
      <c r="F408" s="42"/>
    </row>
    <row r="409" customFormat="false" ht="15" hidden="false" customHeight="false" outlineLevel="0" collapsed="false">
      <c r="A409" s="41"/>
      <c r="B409" s="42"/>
      <c r="C409" s="42"/>
      <c r="D409" s="43"/>
      <c r="E409" s="42"/>
      <c r="F409" s="42"/>
    </row>
    <row r="410" customFormat="false" ht="15" hidden="false" customHeight="false" outlineLevel="0" collapsed="false">
      <c r="A410" s="41"/>
      <c r="B410" s="42"/>
      <c r="C410" s="42"/>
      <c r="D410" s="43"/>
      <c r="E410" s="42"/>
      <c r="F410" s="42"/>
    </row>
    <row r="411" customFormat="false" ht="15" hidden="false" customHeight="false" outlineLevel="0" collapsed="false">
      <c r="A411" s="41"/>
      <c r="B411" s="42"/>
      <c r="C411" s="42"/>
      <c r="D411" s="43"/>
      <c r="E411" s="42"/>
      <c r="F411" s="42"/>
    </row>
    <row r="412" customFormat="false" ht="15" hidden="false" customHeight="false" outlineLevel="0" collapsed="false">
      <c r="A412" s="41"/>
      <c r="B412" s="42"/>
      <c r="C412" s="42"/>
      <c r="D412" s="43"/>
      <c r="E412" s="42"/>
      <c r="F412" s="42"/>
    </row>
    <row r="413" customFormat="false" ht="15" hidden="false" customHeight="false" outlineLevel="0" collapsed="false">
      <c r="A413" s="41"/>
      <c r="B413" s="42"/>
      <c r="C413" s="42"/>
      <c r="D413" s="43"/>
      <c r="E413" s="42"/>
      <c r="F413" s="42"/>
    </row>
    <row r="414" customFormat="false" ht="15" hidden="false" customHeight="false" outlineLevel="0" collapsed="false">
      <c r="A414" s="41"/>
      <c r="B414" s="42"/>
      <c r="C414" s="42"/>
      <c r="D414" s="43"/>
      <c r="E414" s="42"/>
      <c r="F414" s="42"/>
    </row>
    <row r="415" customFormat="false" ht="15" hidden="false" customHeight="false" outlineLevel="0" collapsed="false">
      <c r="A415" s="41"/>
      <c r="B415" s="42"/>
      <c r="C415" s="42"/>
      <c r="D415" s="43"/>
      <c r="E415" s="42"/>
      <c r="F415" s="42"/>
    </row>
    <row r="416" customFormat="false" ht="15" hidden="false" customHeight="false" outlineLevel="0" collapsed="false">
      <c r="A416" s="41"/>
      <c r="B416" s="42"/>
      <c r="C416" s="42"/>
      <c r="D416" s="43"/>
      <c r="E416" s="42"/>
      <c r="F416" s="42"/>
    </row>
    <row r="417" customFormat="false" ht="15" hidden="false" customHeight="false" outlineLevel="0" collapsed="false">
      <c r="A417" s="41"/>
      <c r="B417" s="42"/>
      <c r="C417" s="42"/>
      <c r="D417" s="43"/>
      <c r="E417" s="42"/>
      <c r="F417" s="42"/>
    </row>
    <row r="418" customFormat="false" ht="15" hidden="false" customHeight="false" outlineLevel="0" collapsed="false">
      <c r="A418" s="41"/>
      <c r="B418" s="42"/>
      <c r="C418" s="42"/>
      <c r="D418" s="43"/>
      <c r="E418" s="42"/>
      <c r="F418" s="42"/>
    </row>
    <row r="419" customFormat="false" ht="15" hidden="false" customHeight="false" outlineLevel="0" collapsed="false">
      <c r="A419" s="41"/>
      <c r="B419" s="42"/>
      <c r="C419" s="42"/>
      <c r="D419" s="43"/>
      <c r="E419" s="42"/>
      <c r="F419" s="42"/>
    </row>
    <row r="420" customFormat="false" ht="15" hidden="false" customHeight="false" outlineLevel="0" collapsed="false">
      <c r="A420" s="41"/>
      <c r="B420" s="42"/>
      <c r="C420" s="42"/>
      <c r="D420" s="43"/>
      <c r="E420" s="42"/>
      <c r="F420" s="42"/>
    </row>
    <row r="421" customFormat="false" ht="15" hidden="false" customHeight="false" outlineLevel="0" collapsed="false">
      <c r="A421" s="41"/>
      <c r="B421" s="42"/>
      <c r="C421" s="42"/>
      <c r="D421" s="43"/>
      <c r="E421" s="42"/>
      <c r="F421" s="42"/>
    </row>
    <row r="422" customFormat="false" ht="15" hidden="false" customHeight="false" outlineLevel="0" collapsed="false">
      <c r="A422" s="41"/>
      <c r="B422" s="42"/>
      <c r="C422" s="42"/>
      <c r="D422" s="43"/>
      <c r="E422" s="42"/>
      <c r="F422" s="42"/>
    </row>
    <row r="423" customFormat="false" ht="15" hidden="false" customHeight="false" outlineLevel="0" collapsed="false">
      <c r="A423" s="41"/>
      <c r="B423" s="42"/>
      <c r="C423" s="42"/>
      <c r="D423" s="43"/>
      <c r="E423" s="42"/>
      <c r="F423" s="42"/>
    </row>
    <row r="424" customFormat="false" ht="15" hidden="false" customHeight="false" outlineLevel="0" collapsed="false">
      <c r="A424" s="41"/>
      <c r="B424" s="42"/>
      <c r="C424" s="42"/>
      <c r="D424" s="43"/>
      <c r="E424" s="42"/>
      <c r="F424" s="42"/>
    </row>
    <row r="425" customFormat="false" ht="15" hidden="false" customHeight="false" outlineLevel="0" collapsed="false">
      <c r="A425" s="41"/>
      <c r="B425" s="42"/>
      <c r="C425" s="42"/>
      <c r="D425" s="43"/>
      <c r="E425" s="42"/>
      <c r="F425" s="42"/>
    </row>
    <row r="426" customFormat="false" ht="15" hidden="false" customHeight="false" outlineLevel="0" collapsed="false">
      <c r="A426" s="41"/>
      <c r="B426" s="42"/>
      <c r="C426" s="42"/>
      <c r="D426" s="43"/>
      <c r="E426" s="42"/>
      <c r="F426" s="42"/>
    </row>
    <row r="427" customFormat="false" ht="15" hidden="false" customHeight="false" outlineLevel="0" collapsed="false">
      <c r="A427" s="41"/>
      <c r="B427" s="42"/>
      <c r="C427" s="42"/>
      <c r="D427" s="43"/>
      <c r="E427" s="42"/>
      <c r="F427" s="42"/>
    </row>
    <row r="428" customFormat="false" ht="15" hidden="false" customHeight="false" outlineLevel="0" collapsed="false">
      <c r="A428" s="41"/>
      <c r="B428" s="42"/>
      <c r="C428" s="42"/>
      <c r="D428" s="43"/>
      <c r="E428" s="42"/>
      <c r="F428" s="42"/>
    </row>
    <row r="429" customFormat="false" ht="15" hidden="false" customHeight="false" outlineLevel="0" collapsed="false">
      <c r="A429" s="41"/>
      <c r="B429" s="42"/>
      <c r="C429" s="42"/>
      <c r="D429" s="43"/>
      <c r="E429" s="42"/>
      <c r="F429" s="42"/>
    </row>
    <row r="430" customFormat="false" ht="15" hidden="false" customHeight="false" outlineLevel="0" collapsed="false">
      <c r="A430" s="41"/>
      <c r="B430" s="42"/>
      <c r="C430" s="42"/>
      <c r="D430" s="43"/>
      <c r="E430" s="42"/>
      <c r="F430" s="42"/>
    </row>
    <row r="431" customFormat="false" ht="15" hidden="false" customHeight="false" outlineLevel="0" collapsed="false">
      <c r="A431" s="41"/>
      <c r="B431" s="42"/>
      <c r="C431" s="42"/>
      <c r="D431" s="43"/>
      <c r="E431" s="42"/>
      <c r="F431" s="42"/>
    </row>
    <row r="432" customFormat="false" ht="15" hidden="false" customHeight="false" outlineLevel="0" collapsed="false">
      <c r="A432" s="41"/>
      <c r="B432" s="42"/>
      <c r="C432" s="42"/>
      <c r="D432" s="43"/>
      <c r="E432" s="42"/>
      <c r="F432" s="42"/>
    </row>
    <row r="433" customFormat="false" ht="15" hidden="false" customHeight="false" outlineLevel="0" collapsed="false">
      <c r="A433" s="41"/>
      <c r="B433" s="42"/>
      <c r="C433" s="42"/>
      <c r="D433" s="43"/>
      <c r="E433" s="42"/>
      <c r="F433" s="42"/>
    </row>
    <row r="434" customFormat="false" ht="15" hidden="false" customHeight="false" outlineLevel="0" collapsed="false">
      <c r="A434" s="41"/>
      <c r="B434" s="42"/>
      <c r="C434" s="42"/>
      <c r="D434" s="43"/>
      <c r="E434" s="42"/>
      <c r="F434" s="42"/>
    </row>
    <row r="435" customFormat="false" ht="15" hidden="false" customHeight="false" outlineLevel="0" collapsed="false">
      <c r="A435" s="41"/>
      <c r="B435" s="42"/>
      <c r="C435" s="42"/>
      <c r="D435" s="43"/>
      <c r="E435" s="42"/>
      <c r="F435" s="42"/>
    </row>
    <row r="436" customFormat="false" ht="15" hidden="false" customHeight="false" outlineLevel="0" collapsed="false">
      <c r="A436" s="41"/>
      <c r="B436" s="42"/>
      <c r="C436" s="42"/>
      <c r="D436" s="43"/>
      <c r="E436" s="42"/>
      <c r="F436" s="42"/>
    </row>
    <row r="437" customFormat="false" ht="15" hidden="false" customHeight="false" outlineLevel="0" collapsed="false">
      <c r="A437" s="41"/>
      <c r="B437" s="42"/>
      <c r="C437" s="42"/>
      <c r="D437" s="43"/>
      <c r="E437" s="42"/>
      <c r="F437" s="42"/>
    </row>
    <row r="438" customFormat="false" ht="15" hidden="false" customHeight="false" outlineLevel="0" collapsed="false">
      <c r="A438" s="41"/>
      <c r="B438" s="42"/>
      <c r="C438" s="42"/>
      <c r="D438" s="43"/>
      <c r="E438" s="42"/>
      <c r="F438" s="42"/>
    </row>
    <row r="439" customFormat="false" ht="15" hidden="false" customHeight="false" outlineLevel="0" collapsed="false">
      <c r="A439" s="41"/>
      <c r="B439" s="42"/>
      <c r="C439" s="42"/>
      <c r="D439" s="43"/>
      <c r="E439" s="42"/>
      <c r="F439" s="42"/>
    </row>
    <row r="440" customFormat="false" ht="15" hidden="false" customHeight="false" outlineLevel="0" collapsed="false">
      <c r="A440" s="41"/>
      <c r="B440" s="42"/>
      <c r="C440" s="42"/>
      <c r="D440" s="43"/>
      <c r="E440" s="42"/>
      <c r="F440" s="42"/>
    </row>
    <row r="441" customFormat="false" ht="15" hidden="false" customHeight="false" outlineLevel="0" collapsed="false">
      <c r="A441" s="41"/>
      <c r="B441" s="42"/>
      <c r="C441" s="42"/>
      <c r="D441" s="43"/>
      <c r="E441" s="42"/>
      <c r="F441" s="42"/>
    </row>
    <row r="442" customFormat="false" ht="15" hidden="false" customHeight="false" outlineLevel="0" collapsed="false">
      <c r="A442" s="41"/>
      <c r="B442" s="42"/>
      <c r="C442" s="42"/>
      <c r="D442" s="43"/>
      <c r="E442" s="42"/>
      <c r="F442" s="42"/>
    </row>
    <row r="443" customFormat="false" ht="15" hidden="false" customHeight="false" outlineLevel="0" collapsed="false">
      <c r="A443" s="41"/>
      <c r="B443" s="42"/>
      <c r="C443" s="42"/>
      <c r="D443" s="43"/>
      <c r="E443" s="42"/>
      <c r="F443" s="42"/>
    </row>
    <row r="444" customFormat="false" ht="15" hidden="false" customHeight="false" outlineLevel="0" collapsed="false">
      <c r="A444" s="41"/>
      <c r="B444" s="42"/>
      <c r="C444" s="42"/>
      <c r="D444" s="43"/>
      <c r="E444" s="42"/>
      <c r="F444" s="42"/>
    </row>
    <row r="445" customFormat="false" ht="15" hidden="false" customHeight="false" outlineLevel="0" collapsed="false">
      <c r="A445" s="41"/>
      <c r="B445" s="42"/>
      <c r="C445" s="42"/>
      <c r="D445" s="43"/>
      <c r="E445" s="42"/>
      <c r="F445" s="42"/>
    </row>
    <row r="446" customFormat="false" ht="15" hidden="false" customHeight="false" outlineLevel="0" collapsed="false">
      <c r="A446" s="41"/>
      <c r="B446" s="42"/>
      <c r="C446" s="42"/>
      <c r="D446" s="43"/>
      <c r="E446" s="42"/>
      <c r="F446" s="42"/>
    </row>
    <row r="447" customFormat="false" ht="15" hidden="false" customHeight="false" outlineLevel="0" collapsed="false">
      <c r="A447" s="41"/>
      <c r="B447" s="42"/>
      <c r="C447" s="42"/>
      <c r="D447" s="43"/>
      <c r="E447" s="42"/>
      <c r="F447" s="42"/>
    </row>
    <row r="448" customFormat="false" ht="15" hidden="false" customHeight="false" outlineLevel="0" collapsed="false">
      <c r="A448" s="41"/>
      <c r="B448" s="42"/>
      <c r="C448" s="42"/>
      <c r="D448" s="43"/>
      <c r="E448" s="42"/>
      <c r="F448" s="42"/>
    </row>
    <row r="449" customFormat="false" ht="15" hidden="false" customHeight="false" outlineLevel="0" collapsed="false">
      <c r="A449" s="41"/>
      <c r="B449" s="42"/>
      <c r="C449" s="42"/>
      <c r="D449" s="43"/>
      <c r="E449" s="42"/>
      <c r="F449" s="42"/>
    </row>
    <row r="450" customFormat="false" ht="15" hidden="false" customHeight="false" outlineLevel="0" collapsed="false">
      <c r="A450" s="41"/>
      <c r="B450" s="42"/>
      <c r="C450" s="42"/>
      <c r="D450" s="43"/>
      <c r="E450" s="42"/>
      <c r="F450" s="42"/>
    </row>
    <row r="451" customFormat="false" ht="15" hidden="false" customHeight="false" outlineLevel="0" collapsed="false">
      <c r="A451" s="41"/>
      <c r="B451" s="42"/>
      <c r="C451" s="42"/>
      <c r="D451" s="43"/>
      <c r="E451" s="42"/>
      <c r="F451" s="42"/>
    </row>
    <row r="452" customFormat="false" ht="15" hidden="false" customHeight="false" outlineLevel="0" collapsed="false">
      <c r="A452" s="41"/>
      <c r="B452" s="42"/>
      <c r="C452" s="42"/>
      <c r="D452" s="43"/>
      <c r="E452" s="42"/>
      <c r="F452" s="42"/>
    </row>
    <row r="453" customFormat="false" ht="15" hidden="false" customHeight="false" outlineLevel="0" collapsed="false">
      <c r="A453" s="41"/>
      <c r="B453" s="42"/>
      <c r="C453" s="42"/>
      <c r="D453" s="43"/>
      <c r="E453" s="42"/>
      <c r="F453" s="42"/>
    </row>
    <row r="454" customFormat="false" ht="15" hidden="false" customHeight="false" outlineLevel="0" collapsed="false">
      <c r="A454" s="41"/>
      <c r="B454" s="42"/>
      <c r="C454" s="42"/>
      <c r="D454" s="43"/>
      <c r="E454" s="42"/>
      <c r="F454" s="42"/>
    </row>
    <row r="455" customFormat="false" ht="15" hidden="false" customHeight="false" outlineLevel="0" collapsed="false">
      <c r="A455" s="41"/>
      <c r="B455" s="42"/>
      <c r="C455" s="42"/>
      <c r="D455" s="43"/>
      <c r="E455" s="42"/>
      <c r="F455" s="42"/>
    </row>
    <row r="456" customFormat="false" ht="15" hidden="false" customHeight="false" outlineLevel="0" collapsed="false">
      <c r="A456" s="41"/>
      <c r="B456" s="42"/>
      <c r="C456" s="42"/>
      <c r="D456" s="43"/>
      <c r="E456" s="42"/>
      <c r="F456" s="42"/>
    </row>
    <row r="457" customFormat="false" ht="15" hidden="false" customHeight="false" outlineLevel="0" collapsed="false">
      <c r="A457" s="41"/>
      <c r="B457" s="42"/>
      <c r="C457" s="42"/>
      <c r="D457" s="43"/>
      <c r="E457" s="42"/>
      <c r="F457" s="42"/>
    </row>
    <row r="458" customFormat="false" ht="15" hidden="false" customHeight="false" outlineLevel="0" collapsed="false">
      <c r="A458" s="41"/>
      <c r="B458" s="42"/>
      <c r="C458" s="42"/>
      <c r="D458" s="43"/>
      <c r="E458" s="42"/>
      <c r="F458" s="42"/>
    </row>
    <row r="459" customFormat="false" ht="15" hidden="false" customHeight="false" outlineLevel="0" collapsed="false">
      <c r="A459" s="41"/>
      <c r="B459" s="42"/>
      <c r="C459" s="42"/>
      <c r="D459" s="43"/>
      <c r="E459" s="42"/>
      <c r="F459" s="42"/>
    </row>
    <row r="460" customFormat="false" ht="15" hidden="false" customHeight="false" outlineLevel="0" collapsed="false">
      <c r="A460" s="41"/>
      <c r="B460" s="42"/>
      <c r="C460" s="42"/>
      <c r="D460" s="43"/>
      <c r="E460" s="42"/>
      <c r="F460" s="42"/>
    </row>
    <row r="461" customFormat="false" ht="15" hidden="false" customHeight="false" outlineLevel="0" collapsed="false">
      <c r="A461" s="41"/>
      <c r="B461" s="42"/>
      <c r="C461" s="42"/>
      <c r="D461" s="43"/>
      <c r="E461" s="42"/>
      <c r="F461" s="42"/>
    </row>
    <row r="462" customFormat="false" ht="15" hidden="false" customHeight="false" outlineLevel="0" collapsed="false">
      <c r="A462" s="41"/>
      <c r="B462" s="42"/>
      <c r="C462" s="42"/>
      <c r="D462" s="43"/>
      <c r="E462" s="42"/>
      <c r="F462" s="42"/>
    </row>
    <row r="463" customFormat="false" ht="15" hidden="false" customHeight="false" outlineLevel="0" collapsed="false">
      <c r="A463" s="41"/>
      <c r="B463" s="42"/>
      <c r="C463" s="42"/>
      <c r="D463" s="43"/>
      <c r="E463" s="42"/>
      <c r="F463" s="42"/>
    </row>
    <row r="464" customFormat="false" ht="15" hidden="false" customHeight="false" outlineLevel="0" collapsed="false">
      <c r="A464" s="41"/>
      <c r="B464" s="42"/>
      <c r="C464" s="42"/>
      <c r="D464" s="43"/>
      <c r="E464" s="42"/>
      <c r="F464" s="42"/>
    </row>
    <row r="465" customFormat="false" ht="15" hidden="false" customHeight="false" outlineLevel="0" collapsed="false">
      <c r="A465" s="41"/>
      <c r="B465" s="42"/>
      <c r="C465" s="42"/>
      <c r="D465" s="43"/>
      <c r="E465" s="42"/>
      <c r="F465" s="42"/>
    </row>
    <row r="466" customFormat="false" ht="15" hidden="false" customHeight="false" outlineLevel="0" collapsed="false">
      <c r="A466" s="41"/>
      <c r="B466" s="42"/>
      <c r="C466" s="42"/>
      <c r="D466" s="43"/>
      <c r="E466" s="42"/>
      <c r="F466" s="42"/>
    </row>
    <row r="467" customFormat="false" ht="15" hidden="false" customHeight="false" outlineLevel="0" collapsed="false">
      <c r="A467" s="41"/>
      <c r="B467" s="42"/>
      <c r="C467" s="42"/>
      <c r="D467" s="43"/>
      <c r="E467" s="42"/>
      <c r="F467" s="42"/>
    </row>
    <row r="468" customFormat="false" ht="15" hidden="false" customHeight="false" outlineLevel="0" collapsed="false">
      <c r="A468" s="41"/>
      <c r="B468" s="42"/>
      <c r="C468" s="42"/>
      <c r="D468" s="43"/>
      <c r="E468" s="42"/>
      <c r="F468" s="42"/>
    </row>
    <row r="469" customFormat="false" ht="15" hidden="false" customHeight="false" outlineLevel="0" collapsed="false">
      <c r="A469" s="41"/>
      <c r="B469" s="42"/>
      <c r="C469" s="42"/>
      <c r="D469" s="43"/>
      <c r="E469" s="42"/>
      <c r="F469" s="42"/>
    </row>
    <row r="470" customFormat="false" ht="15" hidden="false" customHeight="false" outlineLevel="0" collapsed="false">
      <c r="A470" s="41"/>
      <c r="B470" s="42"/>
      <c r="C470" s="42"/>
      <c r="D470" s="43"/>
      <c r="E470" s="42"/>
      <c r="F470" s="42"/>
    </row>
    <row r="471" customFormat="false" ht="15" hidden="false" customHeight="false" outlineLevel="0" collapsed="false">
      <c r="A471" s="41"/>
      <c r="B471" s="42"/>
      <c r="C471" s="42"/>
      <c r="D471" s="43"/>
      <c r="E471" s="42"/>
      <c r="F471" s="42"/>
    </row>
    <row r="472" customFormat="false" ht="15" hidden="false" customHeight="false" outlineLevel="0" collapsed="false">
      <c r="A472" s="41"/>
      <c r="B472" s="42"/>
      <c r="C472" s="42"/>
      <c r="D472" s="43"/>
      <c r="E472" s="42"/>
      <c r="F472" s="42"/>
    </row>
    <row r="473" customFormat="false" ht="15" hidden="false" customHeight="false" outlineLevel="0" collapsed="false">
      <c r="A473" s="41"/>
      <c r="B473" s="42"/>
      <c r="C473" s="42"/>
      <c r="D473" s="43"/>
      <c r="E473" s="42"/>
      <c r="F473" s="42"/>
    </row>
    <row r="474" customFormat="false" ht="15" hidden="false" customHeight="false" outlineLevel="0" collapsed="false">
      <c r="A474" s="41"/>
      <c r="B474" s="42"/>
      <c r="C474" s="42"/>
      <c r="D474" s="43"/>
      <c r="E474" s="42"/>
      <c r="F474" s="42"/>
    </row>
    <row r="475" customFormat="false" ht="15" hidden="false" customHeight="false" outlineLevel="0" collapsed="false">
      <c r="A475" s="41"/>
      <c r="B475" s="42"/>
      <c r="C475" s="42"/>
      <c r="D475" s="43"/>
      <c r="E475" s="42"/>
      <c r="F475" s="42"/>
    </row>
    <row r="476" customFormat="false" ht="15" hidden="false" customHeight="false" outlineLevel="0" collapsed="false">
      <c r="A476" s="41"/>
      <c r="B476" s="42"/>
      <c r="C476" s="42"/>
      <c r="D476" s="43"/>
      <c r="E476" s="42"/>
      <c r="F476" s="42"/>
    </row>
    <row r="477" customFormat="false" ht="15" hidden="false" customHeight="false" outlineLevel="0" collapsed="false">
      <c r="A477" s="41"/>
      <c r="B477" s="42"/>
      <c r="C477" s="42"/>
      <c r="D477" s="43"/>
      <c r="E477" s="42"/>
      <c r="F477" s="42"/>
    </row>
    <row r="478" customFormat="false" ht="15" hidden="false" customHeight="false" outlineLevel="0" collapsed="false">
      <c r="A478" s="41"/>
      <c r="B478" s="42"/>
      <c r="C478" s="42"/>
      <c r="D478" s="43"/>
      <c r="E478" s="42"/>
      <c r="F478" s="42"/>
    </row>
    <row r="479" customFormat="false" ht="15" hidden="false" customHeight="false" outlineLevel="0" collapsed="false">
      <c r="A479" s="41"/>
      <c r="B479" s="42"/>
      <c r="C479" s="42"/>
      <c r="D479" s="43"/>
      <c r="E479" s="42"/>
      <c r="F479" s="42"/>
    </row>
    <row r="480" customFormat="false" ht="15" hidden="false" customHeight="false" outlineLevel="0" collapsed="false">
      <c r="A480" s="41"/>
      <c r="B480" s="42"/>
      <c r="C480" s="42"/>
      <c r="D480" s="43"/>
      <c r="E480" s="42"/>
      <c r="F480" s="42"/>
    </row>
    <row r="481" customFormat="false" ht="15" hidden="false" customHeight="false" outlineLevel="0" collapsed="false">
      <c r="A481" s="41"/>
      <c r="B481" s="42"/>
      <c r="C481" s="42"/>
      <c r="D481" s="43"/>
      <c r="E481" s="42"/>
      <c r="F481" s="42"/>
    </row>
    <row r="482" customFormat="false" ht="15" hidden="false" customHeight="false" outlineLevel="0" collapsed="false">
      <c r="A482" s="41"/>
      <c r="B482" s="42"/>
      <c r="C482" s="42"/>
      <c r="D482" s="43"/>
      <c r="E482" s="42"/>
      <c r="F482" s="42"/>
    </row>
    <row r="483" customFormat="false" ht="15" hidden="false" customHeight="false" outlineLevel="0" collapsed="false">
      <c r="A483" s="41"/>
      <c r="B483" s="42"/>
      <c r="C483" s="42"/>
      <c r="D483" s="43"/>
      <c r="E483" s="42"/>
      <c r="F483" s="42"/>
    </row>
    <row r="484" customFormat="false" ht="15" hidden="false" customHeight="false" outlineLevel="0" collapsed="false">
      <c r="A484" s="41"/>
      <c r="B484" s="42"/>
      <c r="C484" s="42"/>
      <c r="D484" s="43"/>
      <c r="E484" s="42"/>
      <c r="F484" s="42"/>
    </row>
    <row r="485" customFormat="false" ht="15" hidden="false" customHeight="false" outlineLevel="0" collapsed="false">
      <c r="A485" s="41"/>
      <c r="B485" s="42"/>
      <c r="C485" s="42"/>
      <c r="D485" s="43"/>
      <c r="E485" s="42"/>
      <c r="F485" s="42"/>
    </row>
    <row r="486" customFormat="false" ht="15" hidden="false" customHeight="false" outlineLevel="0" collapsed="false">
      <c r="A486" s="41"/>
      <c r="B486" s="42"/>
      <c r="C486" s="42"/>
      <c r="D486" s="43"/>
      <c r="E486" s="42"/>
      <c r="F486" s="42"/>
    </row>
    <row r="487" customFormat="false" ht="15" hidden="false" customHeight="false" outlineLevel="0" collapsed="false">
      <c r="A487" s="41"/>
      <c r="B487" s="42"/>
      <c r="C487" s="42"/>
      <c r="D487" s="43"/>
      <c r="E487" s="42"/>
      <c r="F487" s="42"/>
    </row>
    <row r="488" customFormat="false" ht="15" hidden="false" customHeight="false" outlineLevel="0" collapsed="false">
      <c r="A488" s="41"/>
      <c r="B488" s="42"/>
      <c r="C488" s="42"/>
      <c r="D488" s="43"/>
      <c r="E488" s="42"/>
      <c r="F488" s="42"/>
    </row>
    <row r="489" customFormat="false" ht="15" hidden="false" customHeight="false" outlineLevel="0" collapsed="false">
      <c r="A489" s="41"/>
      <c r="B489" s="42"/>
      <c r="C489" s="42"/>
      <c r="D489" s="43"/>
      <c r="E489" s="42"/>
      <c r="F489" s="42"/>
    </row>
    <row r="490" customFormat="false" ht="15" hidden="false" customHeight="false" outlineLevel="0" collapsed="false">
      <c r="A490" s="41"/>
      <c r="B490" s="42"/>
      <c r="C490" s="42"/>
      <c r="D490" s="43"/>
      <c r="E490" s="42"/>
      <c r="F490" s="42"/>
    </row>
    <row r="491" customFormat="false" ht="15" hidden="false" customHeight="false" outlineLevel="0" collapsed="false">
      <c r="A491" s="41"/>
      <c r="B491" s="42"/>
      <c r="C491" s="42"/>
      <c r="D491" s="43"/>
      <c r="E491" s="42"/>
      <c r="F491" s="42"/>
    </row>
    <row r="492" customFormat="false" ht="15" hidden="false" customHeight="false" outlineLevel="0" collapsed="false">
      <c r="A492" s="41"/>
      <c r="B492" s="42"/>
      <c r="C492" s="42"/>
      <c r="D492" s="43"/>
      <c r="E492" s="42"/>
      <c r="F492" s="42"/>
    </row>
    <row r="493" customFormat="false" ht="15" hidden="false" customHeight="false" outlineLevel="0" collapsed="false">
      <c r="A493" s="41"/>
      <c r="B493" s="42"/>
      <c r="C493" s="42"/>
      <c r="D493" s="43"/>
      <c r="E493" s="42"/>
      <c r="F493" s="42"/>
    </row>
    <row r="494" customFormat="false" ht="15" hidden="false" customHeight="false" outlineLevel="0" collapsed="false">
      <c r="A494" s="41"/>
      <c r="B494" s="42"/>
      <c r="C494" s="42"/>
      <c r="D494" s="43"/>
      <c r="E494" s="42"/>
      <c r="F494" s="42"/>
    </row>
    <row r="495" customFormat="false" ht="15" hidden="false" customHeight="false" outlineLevel="0" collapsed="false">
      <c r="A495" s="41"/>
      <c r="B495" s="42"/>
      <c r="C495" s="42"/>
      <c r="D495" s="43"/>
      <c r="E495" s="42"/>
      <c r="F495" s="42"/>
    </row>
    <row r="496" customFormat="false" ht="15" hidden="false" customHeight="false" outlineLevel="0" collapsed="false">
      <c r="A496" s="41"/>
      <c r="B496" s="42"/>
      <c r="C496" s="42"/>
      <c r="D496" s="43"/>
      <c r="E496" s="42"/>
      <c r="F496" s="42"/>
    </row>
    <row r="497" customFormat="false" ht="15" hidden="false" customHeight="false" outlineLevel="0" collapsed="false">
      <c r="A497" s="41"/>
      <c r="B497" s="42"/>
      <c r="C497" s="42"/>
      <c r="D497" s="43"/>
      <c r="E497" s="42"/>
      <c r="F497" s="42"/>
    </row>
    <row r="498" customFormat="false" ht="15" hidden="false" customHeight="false" outlineLevel="0" collapsed="false">
      <c r="A498" s="41"/>
      <c r="B498" s="42"/>
      <c r="C498" s="42"/>
      <c r="D498" s="43"/>
      <c r="E498" s="42"/>
      <c r="F498" s="42"/>
    </row>
    <row r="499" customFormat="false" ht="15" hidden="false" customHeight="false" outlineLevel="0" collapsed="false">
      <c r="A499" s="41"/>
      <c r="B499" s="42"/>
      <c r="C499" s="42"/>
      <c r="D499" s="43"/>
      <c r="E499" s="42"/>
      <c r="F499" s="4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G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149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2" t="s">
        <v>143</v>
      </c>
      <c r="B4" s="12" t="s">
        <v>150</v>
      </c>
      <c r="C4" s="12" t="s">
        <v>151</v>
      </c>
      <c r="D4" s="12" t="s">
        <v>152</v>
      </c>
      <c r="E4" s="12" t="s">
        <v>153</v>
      </c>
      <c r="F4" s="12" t="s">
        <v>154</v>
      </c>
      <c r="G4" s="12" t="s">
        <v>155</v>
      </c>
    </row>
    <row r="5" customFormat="false" ht="35.05" hidden="false" customHeight="false" outlineLevel="0" collapsed="false">
      <c r="A5" s="44" t="n">
        <v>46043</v>
      </c>
      <c r="B5" s="45" t="s">
        <v>156</v>
      </c>
      <c r="C5" s="45" t="s">
        <v>157</v>
      </c>
      <c r="D5" s="45" t="s">
        <v>158</v>
      </c>
      <c r="E5" s="45" t="s">
        <v>159</v>
      </c>
      <c r="F5" s="45" t="s">
        <v>160</v>
      </c>
      <c r="G5" s="45" t="s">
        <v>161</v>
      </c>
    </row>
    <row r="6" customFormat="false" ht="35.05" hidden="false" customHeight="false" outlineLevel="0" collapsed="false">
      <c r="A6" s="44" t="n">
        <v>46050</v>
      </c>
      <c r="B6" s="45" t="s">
        <v>156</v>
      </c>
      <c r="C6" s="45" t="s">
        <v>157</v>
      </c>
      <c r="D6" s="45" t="s">
        <v>158</v>
      </c>
      <c r="E6" s="45" t="s">
        <v>159</v>
      </c>
      <c r="F6" s="45" t="s">
        <v>160</v>
      </c>
      <c r="G6" s="45" t="s">
        <v>161</v>
      </c>
    </row>
    <row r="7" customFormat="false" ht="35.05" hidden="false" customHeight="false" outlineLevel="0" collapsed="false">
      <c r="A7" s="44" t="n">
        <v>46057</v>
      </c>
      <c r="B7" s="45" t="s">
        <v>156</v>
      </c>
      <c r="C7" s="45" t="s">
        <v>157</v>
      </c>
      <c r="D7" s="45" t="s">
        <v>158</v>
      </c>
      <c r="E7" s="45" t="s">
        <v>159</v>
      </c>
      <c r="F7" s="45" t="s">
        <v>160</v>
      </c>
      <c r="G7" s="45" t="s">
        <v>161</v>
      </c>
    </row>
    <row r="8" customFormat="false" ht="35.05" hidden="false" customHeight="false" outlineLevel="0" collapsed="false">
      <c r="A8" s="44" t="n">
        <v>46064</v>
      </c>
      <c r="B8" s="45" t="s">
        <v>156</v>
      </c>
      <c r="C8" s="45" t="s">
        <v>157</v>
      </c>
      <c r="D8" s="45" t="s">
        <v>158</v>
      </c>
      <c r="E8" s="45" t="s">
        <v>159</v>
      </c>
      <c r="F8" s="45" t="s">
        <v>160</v>
      </c>
      <c r="G8" s="45" t="s">
        <v>161</v>
      </c>
    </row>
    <row r="9" customFormat="false" ht="35.05" hidden="false" customHeight="false" outlineLevel="0" collapsed="false">
      <c r="A9" s="44" t="n">
        <v>46071</v>
      </c>
      <c r="B9" s="45" t="s">
        <v>156</v>
      </c>
      <c r="C9" s="45" t="s">
        <v>157</v>
      </c>
      <c r="D9" s="45" t="s">
        <v>158</v>
      </c>
      <c r="E9" s="45" t="s">
        <v>159</v>
      </c>
      <c r="F9" s="45" t="s">
        <v>160</v>
      </c>
      <c r="G9" s="45" t="s">
        <v>161</v>
      </c>
    </row>
    <row r="10" customFormat="false" ht="35.05" hidden="false" customHeight="false" outlineLevel="0" collapsed="false">
      <c r="A10" s="44" t="n">
        <v>46078</v>
      </c>
      <c r="B10" s="45" t="s">
        <v>156</v>
      </c>
      <c r="C10" s="45" t="s">
        <v>157</v>
      </c>
      <c r="D10" s="45" t="s">
        <v>158</v>
      </c>
      <c r="E10" s="45" t="s">
        <v>159</v>
      </c>
      <c r="F10" s="45" t="s">
        <v>160</v>
      </c>
      <c r="G10" s="45" t="s">
        <v>161</v>
      </c>
    </row>
    <row r="11" customFormat="false" ht="35.05" hidden="false" customHeight="false" outlineLevel="0" collapsed="false">
      <c r="A11" s="44" t="n">
        <v>46085</v>
      </c>
      <c r="B11" s="45" t="s">
        <v>156</v>
      </c>
      <c r="C11" s="45" t="s">
        <v>157</v>
      </c>
      <c r="D11" s="45" t="s">
        <v>158</v>
      </c>
      <c r="E11" s="45" t="s">
        <v>159</v>
      </c>
      <c r="F11" s="45" t="s">
        <v>160</v>
      </c>
      <c r="G11" s="45" t="s">
        <v>161</v>
      </c>
    </row>
    <row r="12" customFormat="false" ht="35.05" hidden="false" customHeight="false" outlineLevel="0" collapsed="false">
      <c r="A12" s="44" t="n">
        <v>46092</v>
      </c>
      <c r="B12" s="45" t="s">
        <v>156</v>
      </c>
      <c r="C12" s="45" t="s">
        <v>157</v>
      </c>
      <c r="D12" s="45" t="s">
        <v>158</v>
      </c>
      <c r="E12" s="45" t="s">
        <v>159</v>
      </c>
      <c r="F12" s="45" t="s">
        <v>160</v>
      </c>
      <c r="G12" s="45" t="s">
        <v>161</v>
      </c>
    </row>
    <row r="13" customFormat="false" ht="35.05" hidden="false" customHeight="false" outlineLevel="0" collapsed="false">
      <c r="A13" s="44" t="n">
        <v>46099</v>
      </c>
      <c r="B13" s="45" t="s">
        <v>156</v>
      </c>
      <c r="C13" s="45" t="s">
        <v>157</v>
      </c>
      <c r="D13" s="45" t="s">
        <v>158</v>
      </c>
      <c r="E13" s="45" t="s">
        <v>159</v>
      </c>
      <c r="F13" s="45" t="s">
        <v>160</v>
      </c>
      <c r="G13" s="45" t="s">
        <v>161</v>
      </c>
    </row>
    <row r="14" customFormat="false" ht="35.05" hidden="false" customHeight="false" outlineLevel="0" collapsed="false">
      <c r="A14" s="44" t="n">
        <v>46106</v>
      </c>
      <c r="B14" s="45" t="s">
        <v>156</v>
      </c>
      <c r="C14" s="45" t="s">
        <v>157</v>
      </c>
      <c r="D14" s="45" t="s">
        <v>158</v>
      </c>
      <c r="E14" s="45" t="s">
        <v>159</v>
      </c>
      <c r="F14" s="45" t="s">
        <v>160</v>
      </c>
      <c r="G14" s="45" t="s">
        <v>161</v>
      </c>
    </row>
    <row r="15" customFormat="false" ht="35.05" hidden="false" customHeight="false" outlineLevel="0" collapsed="false">
      <c r="A15" s="44" t="n">
        <v>46113</v>
      </c>
      <c r="B15" s="45" t="s">
        <v>156</v>
      </c>
      <c r="C15" s="45" t="s">
        <v>157</v>
      </c>
      <c r="D15" s="45" t="s">
        <v>158</v>
      </c>
      <c r="E15" s="45" t="s">
        <v>159</v>
      </c>
      <c r="F15" s="45" t="s">
        <v>160</v>
      </c>
      <c r="G15" s="45" t="s">
        <v>161</v>
      </c>
    </row>
    <row r="16" customFormat="false" ht="35.05" hidden="false" customHeight="false" outlineLevel="0" collapsed="false">
      <c r="A16" s="44" t="n">
        <v>46120</v>
      </c>
      <c r="B16" s="45" t="s">
        <v>156</v>
      </c>
      <c r="C16" s="45" t="s">
        <v>157</v>
      </c>
      <c r="D16" s="45" t="s">
        <v>158</v>
      </c>
      <c r="E16" s="45" t="s">
        <v>159</v>
      </c>
      <c r="F16" s="45" t="s">
        <v>160</v>
      </c>
      <c r="G16" s="45" t="s">
        <v>161</v>
      </c>
    </row>
    <row r="17" customFormat="false" ht="35.05" hidden="false" customHeight="false" outlineLevel="0" collapsed="false">
      <c r="A17" s="44" t="n">
        <v>46127</v>
      </c>
      <c r="B17" s="45" t="s">
        <v>156</v>
      </c>
      <c r="C17" s="45" t="s">
        <v>157</v>
      </c>
      <c r="D17" s="45" t="s">
        <v>158</v>
      </c>
      <c r="E17" s="45" t="s">
        <v>159</v>
      </c>
      <c r="F17" s="45" t="s">
        <v>160</v>
      </c>
      <c r="G17" s="45" t="s">
        <v>161</v>
      </c>
    </row>
    <row r="18" customFormat="false" ht="23.85" hidden="false" customHeight="false" outlineLevel="0" collapsed="false">
      <c r="A18" s="44" t="n">
        <v>46129</v>
      </c>
      <c r="B18" s="45" t="s">
        <v>162</v>
      </c>
      <c r="C18" s="45" t="s">
        <v>163</v>
      </c>
      <c r="D18" s="45" t="s">
        <v>164</v>
      </c>
      <c r="E18" s="45" t="s">
        <v>165</v>
      </c>
      <c r="F18" s="45" t="s">
        <v>166</v>
      </c>
      <c r="G18" s="45" t="s">
        <v>161</v>
      </c>
    </row>
    <row r="19" customFormat="false" ht="35.05" hidden="false" customHeight="false" outlineLevel="0" collapsed="false">
      <c r="A19" s="44" t="n">
        <v>46131</v>
      </c>
      <c r="B19" s="45" t="s">
        <v>167</v>
      </c>
      <c r="C19" s="45" t="s">
        <v>168</v>
      </c>
      <c r="D19" s="45" t="s">
        <v>169</v>
      </c>
      <c r="E19" s="45" t="s">
        <v>170</v>
      </c>
      <c r="F19" s="45" t="s">
        <v>171</v>
      </c>
      <c r="G19" s="45" t="s">
        <v>161</v>
      </c>
    </row>
    <row r="20" customFormat="false" ht="23.85" hidden="false" customHeight="false" outlineLevel="0" collapsed="false">
      <c r="A20" s="44" t="n">
        <v>46131</v>
      </c>
      <c r="B20" s="45" t="s">
        <v>172</v>
      </c>
      <c r="C20" s="45" t="s">
        <v>163</v>
      </c>
      <c r="D20" s="45" t="s">
        <v>164</v>
      </c>
      <c r="E20" s="45" t="s">
        <v>173</v>
      </c>
      <c r="F20" s="45" t="s">
        <v>174</v>
      </c>
      <c r="G20" s="45" t="s">
        <v>161</v>
      </c>
    </row>
    <row r="21" customFormat="false" ht="23.85" hidden="false" customHeight="false" outlineLevel="0" collapsed="false">
      <c r="A21" s="44" t="n">
        <v>46132</v>
      </c>
      <c r="B21" s="45" t="s">
        <v>175</v>
      </c>
      <c r="C21" s="45" t="s">
        <v>163</v>
      </c>
      <c r="D21" s="45" t="s">
        <v>164</v>
      </c>
      <c r="E21" s="45" t="s">
        <v>176</v>
      </c>
      <c r="F21" s="45" t="s">
        <v>177</v>
      </c>
      <c r="G21" s="45" t="s">
        <v>161</v>
      </c>
    </row>
    <row r="22" customFormat="false" ht="15" hidden="false" customHeight="false" outlineLevel="0" collapsed="false">
      <c r="A22" s="44" t="n">
        <v>46132</v>
      </c>
      <c r="B22" s="45" t="s">
        <v>178</v>
      </c>
      <c r="C22" s="45" t="s">
        <v>163</v>
      </c>
      <c r="D22" s="45" t="s">
        <v>179</v>
      </c>
      <c r="E22" s="45" t="s">
        <v>180</v>
      </c>
      <c r="F22" s="45" t="s">
        <v>181</v>
      </c>
      <c r="G22" s="45" t="s">
        <v>161</v>
      </c>
    </row>
    <row r="23" customFormat="false" ht="35.05" hidden="false" customHeight="false" outlineLevel="0" collapsed="false">
      <c r="A23" s="44" t="n">
        <v>46134</v>
      </c>
      <c r="B23" s="45" t="s">
        <v>156</v>
      </c>
      <c r="C23" s="45" t="s">
        <v>157</v>
      </c>
      <c r="D23" s="45" t="s">
        <v>158</v>
      </c>
      <c r="E23" s="45" t="s">
        <v>159</v>
      </c>
      <c r="F23" s="45" t="s">
        <v>160</v>
      </c>
      <c r="G23" s="45" t="s">
        <v>161</v>
      </c>
    </row>
    <row r="24" customFormat="false" ht="35.05" hidden="false" customHeight="false" outlineLevel="0" collapsed="false">
      <c r="A24" s="44" t="n">
        <v>46135</v>
      </c>
      <c r="B24" s="45" t="s">
        <v>182</v>
      </c>
      <c r="C24" s="45" t="s">
        <v>163</v>
      </c>
      <c r="D24" s="45" t="s">
        <v>169</v>
      </c>
      <c r="E24" s="45" t="s">
        <v>183</v>
      </c>
      <c r="F24" s="45" t="s">
        <v>184</v>
      </c>
      <c r="G24" s="45" t="s">
        <v>161</v>
      </c>
    </row>
    <row r="25" customFormat="false" ht="15" hidden="false" customHeight="false" outlineLevel="0" collapsed="false">
      <c r="A25" s="44" t="n">
        <v>46135</v>
      </c>
      <c r="B25" s="45" t="s">
        <v>185</v>
      </c>
      <c r="C25" s="45" t="s">
        <v>163</v>
      </c>
      <c r="D25" s="45" t="s">
        <v>164</v>
      </c>
      <c r="E25" s="45" t="s">
        <v>186</v>
      </c>
      <c r="F25" s="45" t="s">
        <v>177</v>
      </c>
      <c r="G25" s="45" t="s">
        <v>161</v>
      </c>
    </row>
    <row r="26" customFormat="false" ht="23.85" hidden="false" customHeight="false" outlineLevel="0" collapsed="false">
      <c r="A26" s="44" t="n">
        <v>46135</v>
      </c>
      <c r="B26" s="45" t="s">
        <v>187</v>
      </c>
      <c r="C26" s="45" t="s">
        <v>163</v>
      </c>
      <c r="D26" s="45" t="s">
        <v>164</v>
      </c>
      <c r="E26" s="45" t="s">
        <v>188</v>
      </c>
      <c r="F26" s="45" t="s">
        <v>189</v>
      </c>
      <c r="G26" s="45" t="s">
        <v>161</v>
      </c>
    </row>
    <row r="27" customFormat="false" ht="23.85" hidden="false" customHeight="false" outlineLevel="0" collapsed="false">
      <c r="A27" s="44" t="n">
        <v>46138</v>
      </c>
      <c r="B27" s="45" t="s">
        <v>190</v>
      </c>
      <c r="C27" s="45" t="s">
        <v>163</v>
      </c>
      <c r="D27" s="45" t="s">
        <v>164</v>
      </c>
      <c r="E27" s="45" t="s">
        <v>191</v>
      </c>
      <c r="F27" s="45" t="s">
        <v>192</v>
      </c>
      <c r="G27" s="45" t="s">
        <v>161</v>
      </c>
    </row>
    <row r="28" customFormat="false" ht="35.05" hidden="false" customHeight="false" outlineLevel="0" collapsed="false">
      <c r="A28" s="44" t="n">
        <v>46139</v>
      </c>
      <c r="B28" s="45" t="s">
        <v>193</v>
      </c>
      <c r="C28" s="45" t="s">
        <v>163</v>
      </c>
      <c r="D28" s="45" t="s">
        <v>169</v>
      </c>
      <c r="E28" s="45" t="s">
        <v>194</v>
      </c>
      <c r="F28" s="45" t="s">
        <v>177</v>
      </c>
      <c r="G28" s="45" t="s">
        <v>161</v>
      </c>
    </row>
    <row r="29" customFormat="false" ht="15" hidden="false" customHeight="false" outlineLevel="0" collapsed="false">
      <c r="A29" s="44" t="n">
        <v>46139</v>
      </c>
      <c r="B29" s="45" t="s">
        <v>195</v>
      </c>
      <c r="C29" s="45" t="s">
        <v>163</v>
      </c>
      <c r="D29" s="45" t="s">
        <v>164</v>
      </c>
      <c r="E29" s="45" t="s">
        <v>196</v>
      </c>
      <c r="F29" s="45" t="s">
        <v>177</v>
      </c>
      <c r="G29" s="45" t="s">
        <v>161</v>
      </c>
    </row>
    <row r="30" customFormat="false" ht="15" hidden="false" customHeight="false" outlineLevel="0" collapsed="false">
      <c r="A30" s="44" t="n">
        <v>46139</v>
      </c>
      <c r="B30" s="45" t="s">
        <v>197</v>
      </c>
      <c r="C30" s="45" t="s">
        <v>163</v>
      </c>
      <c r="D30" s="45" t="s">
        <v>164</v>
      </c>
      <c r="E30" s="45" t="s">
        <v>198</v>
      </c>
      <c r="F30" s="45" t="s">
        <v>199</v>
      </c>
      <c r="G30" s="45" t="s">
        <v>161</v>
      </c>
    </row>
    <row r="31" customFormat="false" ht="23.85" hidden="false" customHeight="false" outlineLevel="0" collapsed="false">
      <c r="A31" s="44" t="n">
        <v>46140</v>
      </c>
      <c r="B31" s="45" t="s">
        <v>200</v>
      </c>
      <c r="C31" s="45" t="s">
        <v>163</v>
      </c>
      <c r="D31" s="45" t="s">
        <v>169</v>
      </c>
      <c r="E31" s="45" t="s">
        <v>201</v>
      </c>
      <c r="F31" s="45" t="s">
        <v>202</v>
      </c>
      <c r="G31" s="45" t="s">
        <v>161</v>
      </c>
    </row>
    <row r="32" customFormat="false" ht="15" hidden="false" customHeight="false" outlineLevel="0" collapsed="false">
      <c r="A32" s="44" t="n">
        <v>46140</v>
      </c>
      <c r="B32" s="45" t="s">
        <v>203</v>
      </c>
      <c r="C32" s="45" t="s">
        <v>163</v>
      </c>
      <c r="D32" s="45" t="s">
        <v>164</v>
      </c>
      <c r="E32" s="45" t="s">
        <v>204</v>
      </c>
      <c r="F32" s="45" t="s">
        <v>205</v>
      </c>
      <c r="G32" s="45" t="s">
        <v>161</v>
      </c>
    </row>
    <row r="33" customFormat="false" ht="35.05" hidden="false" customHeight="false" outlineLevel="0" collapsed="false">
      <c r="A33" s="44" t="n">
        <v>46141</v>
      </c>
      <c r="B33" s="45" t="s">
        <v>156</v>
      </c>
      <c r="C33" s="45" t="s">
        <v>157</v>
      </c>
      <c r="D33" s="45" t="s">
        <v>158</v>
      </c>
      <c r="E33" s="45" t="s">
        <v>159</v>
      </c>
      <c r="F33" s="45" t="s">
        <v>160</v>
      </c>
      <c r="G33" s="45" t="s">
        <v>161</v>
      </c>
    </row>
    <row r="34" customFormat="false" ht="23.85" hidden="false" customHeight="false" outlineLevel="0" collapsed="false">
      <c r="A34" s="44" t="n">
        <v>46142</v>
      </c>
      <c r="B34" s="45" t="s">
        <v>206</v>
      </c>
      <c r="C34" s="45" t="s">
        <v>163</v>
      </c>
      <c r="D34" s="45" t="s">
        <v>169</v>
      </c>
      <c r="E34" s="45" t="s">
        <v>207</v>
      </c>
      <c r="F34" s="45" t="s">
        <v>208</v>
      </c>
      <c r="G34" s="45" t="s">
        <v>161</v>
      </c>
    </row>
    <row r="35" customFormat="false" ht="23.85" hidden="false" customHeight="false" outlineLevel="0" collapsed="false">
      <c r="A35" s="44" t="n">
        <v>46146</v>
      </c>
      <c r="B35" s="45" t="s">
        <v>209</v>
      </c>
      <c r="C35" s="45" t="s">
        <v>163</v>
      </c>
      <c r="D35" s="45" t="s">
        <v>164</v>
      </c>
      <c r="E35" s="45" t="s">
        <v>210</v>
      </c>
      <c r="F35" s="45" t="s">
        <v>177</v>
      </c>
      <c r="G35" s="45" t="s">
        <v>161</v>
      </c>
    </row>
    <row r="36" customFormat="false" ht="23.85" hidden="false" customHeight="false" outlineLevel="0" collapsed="false">
      <c r="A36" s="44" t="n">
        <v>46146</v>
      </c>
      <c r="B36" s="45" t="s">
        <v>211</v>
      </c>
      <c r="C36" s="45" t="s">
        <v>163</v>
      </c>
      <c r="D36" s="45" t="s">
        <v>164</v>
      </c>
      <c r="E36" s="45" t="s">
        <v>212</v>
      </c>
      <c r="F36" s="45" t="s">
        <v>213</v>
      </c>
      <c r="G36" s="45" t="s">
        <v>161</v>
      </c>
    </row>
    <row r="37" customFormat="false" ht="15" hidden="false" customHeight="false" outlineLevel="0" collapsed="false">
      <c r="A37" s="44" t="n">
        <v>46146</v>
      </c>
      <c r="B37" s="45" t="s">
        <v>214</v>
      </c>
      <c r="C37" s="45" t="s">
        <v>163</v>
      </c>
      <c r="D37" s="45" t="s">
        <v>164</v>
      </c>
      <c r="E37" s="45" t="s">
        <v>215</v>
      </c>
      <c r="F37" s="45" t="s">
        <v>216</v>
      </c>
      <c r="G37" s="45" t="s">
        <v>161</v>
      </c>
    </row>
    <row r="38" customFormat="false" ht="15" hidden="false" customHeight="false" outlineLevel="0" collapsed="false">
      <c r="A38" s="44" t="n">
        <v>46146</v>
      </c>
      <c r="B38" s="45" t="s">
        <v>217</v>
      </c>
      <c r="C38" s="45" t="s">
        <v>163</v>
      </c>
      <c r="D38" s="45" t="s">
        <v>164</v>
      </c>
      <c r="E38" s="45" t="s">
        <v>218</v>
      </c>
      <c r="F38" s="45" t="s">
        <v>219</v>
      </c>
      <c r="G38" s="45" t="s">
        <v>161</v>
      </c>
    </row>
    <row r="39" customFormat="false" ht="15" hidden="false" customHeight="false" outlineLevel="0" collapsed="false">
      <c r="A39" s="44" t="n">
        <v>46146</v>
      </c>
      <c r="B39" s="45" t="s">
        <v>220</v>
      </c>
      <c r="C39" s="45" t="s">
        <v>163</v>
      </c>
      <c r="D39" s="45" t="s">
        <v>164</v>
      </c>
      <c r="E39" s="45" t="s">
        <v>221</v>
      </c>
      <c r="F39" s="45" t="s">
        <v>219</v>
      </c>
      <c r="G39" s="45" t="s">
        <v>161</v>
      </c>
    </row>
    <row r="40" customFormat="false" ht="35.05" hidden="false" customHeight="false" outlineLevel="0" collapsed="false">
      <c r="A40" s="44" t="n">
        <v>46148</v>
      </c>
      <c r="B40" s="45" t="s">
        <v>156</v>
      </c>
      <c r="C40" s="45" t="s">
        <v>157</v>
      </c>
      <c r="D40" s="45" t="s">
        <v>158</v>
      </c>
      <c r="E40" s="45" t="s">
        <v>159</v>
      </c>
      <c r="F40" s="45" t="s">
        <v>160</v>
      </c>
      <c r="G40" s="45" t="s">
        <v>161</v>
      </c>
    </row>
    <row r="41" customFormat="false" ht="15" hidden="false" customHeight="false" outlineLevel="0" collapsed="false">
      <c r="A41" s="44" t="n">
        <v>46148</v>
      </c>
      <c r="B41" s="45" t="s">
        <v>182</v>
      </c>
      <c r="C41" s="45" t="s">
        <v>222</v>
      </c>
      <c r="D41" s="45" t="s">
        <v>158</v>
      </c>
      <c r="E41" s="45" t="s">
        <v>223</v>
      </c>
      <c r="F41" s="45" t="s">
        <v>224</v>
      </c>
      <c r="G41" s="45" t="s">
        <v>161</v>
      </c>
    </row>
    <row r="42" customFormat="false" ht="23.85" hidden="false" customHeight="false" outlineLevel="0" collapsed="false">
      <c r="A42" s="44" t="n">
        <v>46148</v>
      </c>
      <c r="B42" s="45" t="s">
        <v>193</v>
      </c>
      <c r="C42" s="45" t="s">
        <v>225</v>
      </c>
      <c r="D42" s="45" t="s">
        <v>158</v>
      </c>
      <c r="E42" s="45" t="s">
        <v>226</v>
      </c>
      <c r="F42" s="45" t="s">
        <v>227</v>
      </c>
      <c r="G42" s="45" t="s">
        <v>161</v>
      </c>
    </row>
    <row r="43" customFormat="false" ht="15" hidden="false" customHeight="false" outlineLevel="0" collapsed="false">
      <c r="A43" s="44" t="n">
        <v>46148</v>
      </c>
      <c r="B43" s="45" t="s">
        <v>228</v>
      </c>
      <c r="C43" s="45" t="s">
        <v>163</v>
      </c>
      <c r="D43" s="45" t="s">
        <v>158</v>
      </c>
      <c r="E43" s="45" t="s">
        <v>229</v>
      </c>
      <c r="F43" s="45" t="s">
        <v>230</v>
      </c>
      <c r="G43" s="45" t="s">
        <v>161</v>
      </c>
    </row>
    <row r="44" customFormat="false" ht="35.05" hidden="false" customHeight="false" outlineLevel="0" collapsed="false">
      <c r="A44" s="44" t="n">
        <v>46154</v>
      </c>
      <c r="B44" s="45" t="s">
        <v>231</v>
      </c>
      <c r="C44" s="45" t="s">
        <v>232</v>
      </c>
      <c r="D44" s="45" t="s">
        <v>169</v>
      </c>
      <c r="E44" s="45" t="s">
        <v>233</v>
      </c>
      <c r="F44" s="45" t="s">
        <v>234</v>
      </c>
      <c r="G44" s="45" t="s">
        <v>161</v>
      </c>
    </row>
    <row r="45" customFormat="false" ht="23.85" hidden="false" customHeight="false" outlineLevel="0" collapsed="false">
      <c r="A45" s="44" t="n">
        <v>46154</v>
      </c>
      <c r="B45" s="45" t="s">
        <v>235</v>
      </c>
      <c r="C45" s="45" t="s">
        <v>236</v>
      </c>
      <c r="D45" s="45" t="s">
        <v>169</v>
      </c>
      <c r="E45" s="45" t="s">
        <v>237</v>
      </c>
      <c r="F45" s="45" t="s">
        <v>238</v>
      </c>
      <c r="G45" s="45" t="s">
        <v>161</v>
      </c>
    </row>
    <row r="46" customFormat="false" ht="35.05" hidden="false" customHeight="false" outlineLevel="0" collapsed="false">
      <c r="A46" s="44" t="n">
        <v>46155</v>
      </c>
      <c r="B46" s="45" t="s">
        <v>156</v>
      </c>
      <c r="C46" s="45" t="s">
        <v>157</v>
      </c>
      <c r="D46" s="45" t="s">
        <v>158</v>
      </c>
      <c r="E46" s="45" t="s">
        <v>159</v>
      </c>
      <c r="F46" s="45" t="s">
        <v>160</v>
      </c>
      <c r="G46" s="45" t="s">
        <v>161</v>
      </c>
    </row>
    <row r="47" customFormat="false" ht="23.85" hidden="false" customHeight="false" outlineLevel="0" collapsed="false">
      <c r="A47" s="44" t="n">
        <v>46159</v>
      </c>
      <c r="B47" s="45" t="s">
        <v>162</v>
      </c>
      <c r="C47" s="45" t="s">
        <v>239</v>
      </c>
      <c r="D47" s="45" t="s">
        <v>158</v>
      </c>
      <c r="E47" s="45" t="s">
        <v>240</v>
      </c>
      <c r="F47" s="45" t="s">
        <v>241</v>
      </c>
      <c r="G47" s="45" t="s">
        <v>161</v>
      </c>
    </row>
    <row r="48" customFormat="false" ht="35.05" hidden="false" customHeight="false" outlineLevel="0" collapsed="false">
      <c r="A48" s="44" t="n">
        <v>46160</v>
      </c>
      <c r="B48" s="45" t="s">
        <v>242</v>
      </c>
      <c r="C48" s="45" t="s">
        <v>163</v>
      </c>
      <c r="D48" s="45" t="s">
        <v>164</v>
      </c>
      <c r="E48" s="45" t="s">
        <v>243</v>
      </c>
      <c r="F48" s="45" t="s">
        <v>181</v>
      </c>
      <c r="G48" s="45" t="s">
        <v>161</v>
      </c>
    </row>
    <row r="49" customFormat="false" ht="35.05" hidden="false" customHeight="false" outlineLevel="0" collapsed="false">
      <c r="A49" s="44" t="n">
        <v>46162</v>
      </c>
      <c r="B49" s="45" t="s">
        <v>156</v>
      </c>
      <c r="C49" s="45" t="s">
        <v>157</v>
      </c>
      <c r="D49" s="45" t="s">
        <v>158</v>
      </c>
      <c r="E49" s="45" t="s">
        <v>159</v>
      </c>
      <c r="F49" s="45" t="s">
        <v>160</v>
      </c>
      <c r="G49" s="45" t="s">
        <v>161</v>
      </c>
    </row>
    <row r="50" customFormat="false" ht="23.85" hidden="false" customHeight="false" outlineLevel="0" collapsed="false">
      <c r="A50" s="44" t="n">
        <v>46162</v>
      </c>
      <c r="B50" s="45" t="s">
        <v>244</v>
      </c>
      <c r="C50" s="45" t="s">
        <v>245</v>
      </c>
      <c r="D50" s="45" t="s">
        <v>164</v>
      </c>
      <c r="E50" s="45" t="s">
        <v>246</v>
      </c>
      <c r="F50" s="45" t="s">
        <v>226</v>
      </c>
      <c r="G50" s="45" t="s">
        <v>161</v>
      </c>
    </row>
    <row r="51" customFormat="false" ht="23.85" hidden="false" customHeight="false" outlineLevel="0" collapsed="false">
      <c r="A51" s="44" t="n">
        <v>46163</v>
      </c>
      <c r="B51" s="45" t="s">
        <v>247</v>
      </c>
      <c r="C51" s="45" t="s">
        <v>248</v>
      </c>
      <c r="D51" s="45" t="s">
        <v>158</v>
      </c>
      <c r="E51" s="45" t="s">
        <v>249</v>
      </c>
      <c r="F51" s="45" t="s">
        <v>250</v>
      </c>
      <c r="G51" s="45" t="s">
        <v>161</v>
      </c>
    </row>
    <row r="52" customFormat="false" ht="35.05" hidden="false" customHeight="false" outlineLevel="0" collapsed="false">
      <c r="A52" s="44" t="n">
        <v>46168</v>
      </c>
      <c r="B52" s="45" t="s">
        <v>251</v>
      </c>
      <c r="C52" s="45" t="s">
        <v>252</v>
      </c>
      <c r="D52" s="45" t="s">
        <v>169</v>
      </c>
      <c r="E52" s="45" t="s">
        <v>253</v>
      </c>
      <c r="F52" s="45" t="s">
        <v>199</v>
      </c>
      <c r="G52" s="45" t="s">
        <v>161</v>
      </c>
    </row>
    <row r="53" customFormat="false" ht="35.05" hidden="false" customHeight="false" outlineLevel="0" collapsed="false">
      <c r="A53" s="44" t="n">
        <v>46168</v>
      </c>
      <c r="B53" s="45" t="s">
        <v>254</v>
      </c>
      <c r="C53" s="45" t="s">
        <v>255</v>
      </c>
      <c r="D53" s="45" t="s">
        <v>169</v>
      </c>
      <c r="E53" s="45" t="s">
        <v>256</v>
      </c>
      <c r="F53" s="45" t="s">
        <v>257</v>
      </c>
      <c r="G53" s="45" t="s">
        <v>161</v>
      </c>
    </row>
    <row r="54" customFormat="false" ht="35.05" hidden="false" customHeight="false" outlineLevel="0" collapsed="false">
      <c r="A54" s="44" t="n">
        <v>46169</v>
      </c>
      <c r="B54" s="45" t="s">
        <v>156</v>
      </c>
      <c r="C54" s="45" t="s">
        <v>157</v>
      </c>
      <c r="D54" s="45" t="s">
        <v>158</v>
      </c>
      <c r="E54" s="45" t="s">
        <v>159</v>
      </c>
      <c r="F54" s="45" t="s">
        <v>160</v>
      </c>
      <c r="G54" s="45" t="s">
        <v>161</v>
      </c>
    </row>
    <row r="55" customFormat="false" ht="35.05" hidden="false" customHeight="false" outlineLevel="0" collapsed="false">
      <c r="A55" s="44" t="n">
        <v>46171</v>
      </c>
      <c r="B55" s="45" t="s">
        <v>258</v>
      </c>
      <c r="C55" s="45" t="s">
        <v>163</v>
      </c>
      <c r="D55" s="45" t="s">
        <v>164</v>
      </c>
      <c r="E55" s="45" t="s">
        <v>259</v>
      </c>
      <c r="F55" s="45" t="s">
        <v>181</v>
      </c>
      <c r="G55" s="45" t="s">
        <v>161</v>
      </c>
    </row>
    <row r="56" customFormat="false" ht="23.85" hidden="false" customHeight="false" outlineLevel="0" collapsed="false">
      <c r="A56" s="44" t="n">
        <v>46171</v>
      </c>
      <c r="B56" s="45" t="s">
        <v>260</v>
      </c>
      <c r="C56" s="45" t="s">
        <v>163</v>
      </c>
      <c r="D56" s="45" t="s">
        <v>164</v>
      </c>
      <c r="E56" s="45" t="s">
        <v>261</v>
      </c>
      <c r="F56" s="45" t="s">
        <v>181</v>
      </c>
      <c r="G56" s="45" t="s">
        <v>161</v>
      </c>
    </row>
    <row r="57" customFormat="false" ht="35.05" hidden="false" customHeight="false" outlineLevel="0" collapsed="false">
      <c r="A57" s="44" t="n">
        <v>46174</v>
      </c>
      <c r="B57" s="45" t="s">
        <v>262</v>
      </c>
      <c r="C57" s="45" t="s">
        <v>163</v>
      </c>
      <c r="D57" s="45" t="s">
        <v>169</v>
      </c>
      <c r="E57" s="45" t="s">
        <v>263</v>
      </c>
      <c r="F57" s="45" t="s">
        <v>264</v>
      </c>
      <c r="G57" s="45" t="s">
        <v>161</v>
      </c>
    </row>
    <row r="58" customFormat="false" ht="35.05" hidden="false" customHeight="false" outlineLevel="0" collapsed="false">
      <c r="A58" s="44" t="n">
        <v>46174</v>
      </c>
      <c r="B58" s="45" t="s">
        <v>265</v>
      </c>
      <c r="C58" s="45" t="s">
        <v>163</v>
      </c>
      <c r="D58" s="45" t="s">
        <v>169</v>
      </c>
      <c r="E58" s="45" t="s">
        <v>266</v>
      </c>
      <c r="F58" s="45" t="s">
        <v>267</v>
      </c>
      <c r="G58" s="45" t="s">
        <v>161</v>
      </c>
    </row>
    <row r="59" customFormat="false" ht="35.05" hidden="false" customHeight="false" outlineLevel="0" collapsed="false">
      <c r="A59" s="44" t="n">
        <v>46174</v>
      </c>
      <c r="B59" s="45" t="s">
        <v>268</v>
      </c>
      <c r="C59" s="45" t="s">
        <v>163</v>
      </c>
      <c r="D59" s="45" t="s">
        <v>164</v>
      </c>
      <c r="E59" s="45" t="s">
        <v>269</v>
      </c>
      <c r="F59" s="45" t="s">
        <v>181</v>
      </c>
      <c r="G59" s="45" t="s">
        <v>161</v>
      </c>
    </row>
    <row r="60" customFormat="false" ht="15" hidden="false" customHeight="false" outlineLevel="0" collapsed="false">
      <c r="A60" s="41"/>
      <c r="B60" s="42"/>
      <c r="C60" s="42"/>
      <c r="D60" s="42"/>
      <c r="E60" s="42"/>
      <c r="F60" s="42"/>
      <c r="G60" s="42"/>
    </row>
    <row r="61" customFormat="false" ht="15" hidden="false" customHeight="false" outlineLevel="0" collapsed="false">
      <c r="A61" s="41"/>
      <c r="B61" s="42"/>
      <c r="C61" s="42"/>
      <c r="D61" s="42"/>
      <c r="E61" s="42"/>
      <c r="F61" s="42"/>
      <c r="G61" s="42"/>
    </row>
    <row r="62" customFormat="false" ht="15" hidden="false" customHeight="false" outlineLevel="0" collapsed="false">
      <c r="A62" s="41"/>
      <c r="B62" s="42"/>
      <c r="C62" s="42"/>
      <c r="D62" s="42"/>
      <c r="E62" s="42"/>
      <c r="F62" s="42"/>
      <c r="G62" s="42"/>
    </row>
    <row r="63" customFormat="false" ht="15" hidden="false" customHeight="false" outlineLevel="0" collapsed="false">
      <c r="A63" s="41"/>
      <c r="B63" s="42"/>
      <c r="C63" s="42"/>
      <c r="D63" s="42"/>
      <c r="E63" s="42"/>
      <c r="F63" s="42"/>
      <c r="G63" s="42"/>
    </row>
    <row r="64" customFormat="false" ht="15" hidden="false" customHeight="false" outlineLevel="0" collapsed="false">
      <c r="A64" s="41"/>
      <c r="B64" s="42"/>
      <c r="C64" s="42"/>
      <c r="D64" s="42"/>
      <c r="E64" s="42"/>
      <c r="F64" s="42"/>
      <c r="G64" s="42"/>
    </row>
    <row r="65" customFormat="false" ht="15" hidden="false" customHeight="false" outlineLevel="0" collapsed="false">
      <c r="A65" s="41"/>
      <c r="B65" s="42"/>
      <c r="C65" s="42"/>
      <c r="D65" s="42"/>
      <c r="E65" s="42"/>
      <c r="F65" s="42"/>
      <c r="G65" s="42"/>
    </row>
    <row r="66" customFormat="false" ht="15" hidden="false" customHeight="false" outlineLevel="0" collapsed="false">
      <c r="A66" s="41"/>
      <c r="B66" s="42"/>
      <c r="C66" s="42"/>
      <c r="D66" s="42"/>
      <c r="E66" s="42"/>
      <c r="F66" s="42"/>
      <c r="G66" s="42"/>
    </row>
    <row r="67" customFormat="false" ht="15" hidden="false" customHeight="false" outlineLevel="0" collapsed="false">
      <c r="A67" s="41"/>
      <c r="B67" s="42"/>
      <c r="C67" s="42"/>
      <c r="D67" s="42"/>
      <c r="E67" s="42"/>
      <c r="F67" s="42"/>
      <c r="G67" s="42"/>
    </row>
    <row r="68" customFormat="false" ht="15" hidden="false" customHeight="false" outlineLevel="0" collapsed="false">
      <c r="A68" s="41"/>
      <c r="B68" s="42"/>
      <c r="C68" s="42"/>
      <c r="D68" s="42"/>
      <c r="E68" s="42"/>
      <c r="F68" s="42"/>
      <c r="G68" s="42"/>
    </row>
    <row r="69" customFormat="false" ht="15" hidden="false" customHeight="false" outlineLevel="0" collapsed="false">
      <c r="A69" s="41"/>
      <c r="B69" s="42"/>
      <c r="C69" s="42"/>
      <c r="D69" s="42"/>
      <c r="E69" s="42"/>
      <c r="F69" s="42"/>
      <c r="G69" s="42"/>
    </row>
    <row r="70" customFormat="false" ht="15" hidden="false" customHeight="false" outlineLevel="0" collapsed="false">
      <c r="A70" s="41"/>
      <c r="B70" s="42"/>
      <c r="C70" s="42"/>
      <c r="D70" s="42"/>
      <c r="E70" s="42"/>
      <c r="F70" s="42"/>
      <c r="G70" s="42"/>
    </row>
    <row r="71" customFormat="false" ht="15" hidden="false" customHeight="false" outlineLevel="0" collapsed="false">
      <c r="A71" s="41"/>
      <c r="B71" s="42"/>
      <c r="C71" s="42"/>
      <c r="D71" s="42"/>
      <c r="E71" s="42"/>
      <c r="F71" s="42"/>
      <c r="G71" s="42"/>
    </row>
    <row r="72" customFormat="false" ht="15" hidden="false" customHeight="false" outlineLevel="0" collapsed="false">
      <c r="A72" s="41"/>
      <c r="B72" s="42"/>
      <c r="C72" s="42"/>
      <c r="D72" s="42"/>
      <c r="E72" s="42"/>
      <c r="F72" s="42"/>
      <c r="G72" s="42"/>
    </row>
    <row r="73" customFormat="false" ht="15" hidden="false" customHeight="false" outlineLevel="0" collapsed="false">
      <c r="A73" s="41"/>
      <c r="B73" s="42"/>
      <c r="C73" s="42"/>
      <c r="D73" s="42"/>
      <c r="E73" s="42"/>
      <c r="F73" s="42"/>
      <c r="G73" s="42"/>
    </row>
    <row r="74" customFormat="false" ht="15" hidden="false" customHeight="false" outlineLevel="0" collapsed="false">
      <c r="A74" s="41"/>
      <c r="B74" s="42"/>
      <c r="C74" s="42"/>
      <c r="D74" s="42"/>
      <c r="E74" s="42"/>
      <c r="F74" s="42"/>
      <c r="G74" s="42"/>
    </row>
    <row r="75" customFormat="false" ht="15" hidden="false" customHeight="false" outlineLevel="0" collapsed="false">
      <c r="A75" s="41"/>
      <c r="B75" s="42"/>
      <c r="C75" s="42"/>
      <c r="D75" s="42"/>
      <c r="E75" s="42"/>
      <c r="F75" s="42"/>
      <c r="G75" s="42"/>
    </row>
    <row r="76" customFormat="false" ht="15" hidden="false" customHeight="false" outlineLevel="0" collapsed="false">
      <c r="A76" s="41"/>
      <c r="B76" s="42"/>
      <c r="C76" s="42"/>
      <c r="D76" s="42"/>
      <c r="E76" s="42"/>
      <c r="F76" s="42"/>
      <c r="G76" s="42"/>
    </row>
    <row r="77" customFormat="false" ht="15" hidden="false" customHeight="false" outlineLevel="0" collapsed="false">
      <c r="A77" s="41"/>
      <c r="B77" s="42"/>
      <c r="C77" s="42"/>
      <c r="D77" s="42"/>
      <c r="E77" s="42"/>
      <c r="F77" s="42"/>
      <c r="G77" s="42"/>
    </row>
    <row r="78" customFormat="false" ht="15" hidden="false" customHeight="false" outlineLevel="0" collapsed="false">
      <c r="A78" s="41"/>
      <c r="B78" s="42"/>
      <c r="C78" s="42"/>
      <c r="D78" s="42"/>
      <c r="E78" s="42"/>
      <c r="F78" s="42"/>
      <c r="G78" s="42"/>
    </row>
    <row r="79" customFormat="false" ht="15" hidden="false" customHeight="false" outlineLevel="0" collapsed="false">
      <c r="A79" s="41"/>
      <c r="B79" s="42"/>
      <c r="C79" s="42"/>
      <c r="D79" s="42"/>
      <c r="E79" s="42"/>
      <c r="F79" s="42"/>
      <c r="G79" s="42"/>
    </row>
    <row r="80" customFormat="false" ht="15" hidden="false" customHeight="false" outlineLevel="0" collapsed="false">
      <c r="A80" s="41"/>
      <c r="B80" s="42"/>
      <c r="C80" s="42"/>
      <c r="D80" s="42"/>
      <c r="E80" s="42"/>
      <c r="F80" s="42"/>
      <c r="G80" s="42"/>
    </row>
    <row r="81" customFormat="false" ht="15" hidden="false" customHeight="false" outlineLevel="0" collapsed="false">
      <c r="A81" s="41"/>
      <c r="B81" s="42"/>
      <c r="C81" s="42"/>
      <c r="D81" s="42"/>
      <c r="E81" s="42"/>
      <c r="F81" s="42"/>
      <c r="G81" s="42"/>
    </row>
    <row r="82" customFormat="false" ht="15" hidden="false" customHeight="false" outlineLevel="0" collapsed="false">
      <c r="A82" s="41"/>
      <c r="B82" s="42"/>
      <c r="C82" s="42"/>
      <c r="D82" s="42"/>
      <c r="E82" s="42"/>
      <c r="F82" s="42"/>
      <c r="G82" s="42"/>
    </row>
    <row r="83" customFormat="false" ht="15" hidden="false" customHeight="false" outlineLevel="0" collapsed="false">
      <c r="A83" s="41"/>
      <c r="B83" s="42"/>
      <c r="C83" s="42"/>
      <c r="D83" s="42"/>
      <c r="E83" s="42"/>
      <c r="F83" s="42"/>
      <c r="G83" s="42"/>
    </row>
    <row r="84" customFormat="false" ht="15" hidden="false" customHeight="false" outlineLevel="0" collapsed="false">
      <c r="A84" s="41"/>
      <c r="B84" s="42"/>
      <c r="C84" s="42"/>
      <c r="D84" s="42"/>
      <c r="E84" s="42"/>
      <c r="F84" s="42"/>
      <c r="G84" s="42"/>
    </row>
    <row r="85" customFormat="false" ht="15" hidden="false" customHeight="false" outlineLevel="0" collapsed="false">
      <c r="A85" s="41"/>
      <c r="B85" s="42"/>
      <c r="C85" s="42"/>
      <c r="D85" s="42"/>
      <c r="E85" s="42"/>
      <c r="F85" s="42"/>
      <c r="G85" s="42"/>
    </row>
    <row r="86" customFormat="false" ht="15" hidden="false" customHeight="false" outlineLevel="0" collapsed="false">
      <c r="A86" s="41"/>
      <c r="B86" s="42"/>
      <c r="C86" s="42"/>
      <c r="D86" s="42"/>
      <c r="E86" s="42"/>
      <c r="F86" s="42"/>
      <c r="G86" s="42"/>
    </row>
    <row r="87" customFormat="false" ht="15" hidden="false" customHeight="false" outlineLevel="0" collapsed="false">
      <c r="A87" s="41"/>
      <c r="B87" s="42"/>
      <c r="C87" s="42"/>
      <c r="D87" s="42"/>
      <c r="E87" s="42"/>
      <c r="F87" s="42"/>
      <c r="G87" s="42"/>
    </row>
    <row r="88" customFormat="false" ht="15" hidden="false" customHeight="false" outlineLevel="0" collapsed="false">
      <c r="A88" s="41"/>
      <c r="B88" s="42"/>
      <c r="C88" s="42"/>
      <c r="D88" s="42"/>
      <c r="E88" s="42"/>
      <c r="F88" s="42"/>
      <c r="G88" s="42"/>
    </row>
    <row r="89" customFormat="false" ht="15" hidden="false" customHeight="false" outlineLevel="0" collapsed="false">
      <c r="A89" s="41"/>
      <c r="B89" s="42"/>
      <c r="C89" s="42"/>
      <c r="D89" s="42"/>
      <c r="E89" s="42"/>
      <c r="F89" s="42"/>
      <c r="G89" s="42"/>
    </row>
    <row r="90" customFormat="false" ht="15" hidden="false" customHeight="false" outlineLevel="0" collapsed="false">
      <c r="A90" s="41"/>
      <c r="B90" s="42"/>
      <c r="C90" s="42"/>
      <c r="D90" s="42"/>
      <c r="E90" s="42"/>
      <c r="F90" s="42"/>
      <c r="G90" s="42"/>
    </row>
    <row r="91" customFormat="false" ht="15" hidden="false" customHeight="false" outlineLevel="0" collapsed="false">
      <c r="A91" s="41"/>
      <c r="B91" s="42"/>
      <c r="C91" s="42"/>
      <c r="D91" s="42"/>
      <c r="E91" s="42"/>
      <c r="F91" s="42"/>
      <c r="G91" s="42"/>
    </row>
    <row r="92" customFormat="false" ht="15" hidden="false" customHeight="false" outlineLevel="0" collapsed="false">
      <c r="A92" s="41"/>
      <c r="B92" s="42"/>
      <c r="C92" s="42"/>
      <c r="D92" s="42"/>
      <c r="E92" s="42"/>
      <c r="F92" s="42"/>
      <c r="G92" s="42"/>
    </row>
    <row r="93" customFormat="false" ht="15" hidden="false" customHeight="false" outlineLevel="0" collapsed="false">
      <c r="A93" s="41"/>
      <c r="B93" s="42"/>
      <c r="C93" s="42"/>
      <c r="D93" s="42"/>
      <c r="E93" s="42"/>
      <c r="F93" s="42"/>
      <c r="G93" s="42"/>
    </row>
    <row r="94" customFormat="false" ht="15" hidden="false" customHeight="false" outlineLevel="0" collapsed="false">
      <c r="A94" s="41"/>
      <c r="B94" s="42"/>
      <c r="C94" s="42"/>
      <c r="D94" s="42"/>
      <c r="E94" s="42"/>
      <c r="F94" s="42"/>
      <c r="G94" s="42"/>
    </row>
    <row r="95" customFormat="false" ht="15" hidden="false" customHeight="false" outlineLevel="0" collapsed="false">
      <c r="A95" s="41"/>
      <c r="B95" s="42"/>
      <c r="C95" s="42"/>
      <c r="D95" s="42"/>
      <c r="E95" s="42"/>
      <c r="F95" s="42"/>
      <c r="G95" s="42"/>
    </row>
    <row r="96" customFormat="false" ht="15" hidden="false" customHeight="false" outlineLevel="0" collapsed="false">
      <c r="A96" s="41"/>
      <c r="B96" s="42"/>
      <c r="C96" s="42"/>
      <c r="D96" s="42"/>
      <c r="E96" s="42"/>
      <c r="F96" s="42"/>
      <c r="G96" s="42"/>
    </row>
    <row r="97" customFormat="false" ht="15" hidden="false" customHeight="false" outlineLevel="0" collapsed="false">
      <c r="A97" s="41"/>
      <c r="B97" s="42"/>
      <c r="C97" s="42"/>
      <c r="D97" s="42"/>
      <c r="E97" s="42"/>
      <c r="F97" s="42"/>
      <c r="G97" s="42"/>
    </row>
    <row r="98" customFormat="false" ht="15" hidden="false" customHeight="false" outlineLevel="0" collapsed="false">
      <c r="A98" s="41"/>
      <c r="B98" s="42"/>
      <c r="C98" s="42"/>
      <c r="D98" s="42"/>
      <c r="E98" s="42"/>
      <c r="F98" s="42"/>
      <c r="G98" s="42"/>
    </row>
    <row r="99" customFormat="false" ht="15" hidden="false" customHeight="false" outlineLevel="0" collapsed="false">
      <c r="A99" s="41"/>
      <c r="B99" s="42"/>
      <c r="C99" s="42"/>
      <c r="D99" s="42"/>
      <c r="E99" s="42"/>
      <c r="F99" s="42"/>
      <c r="G99" s="42"/>
    </row>
    <row r="100" customFormat="false" ht="15" hidden="false" customHeight="false" outlineLevel="0" collapsed="false">
      <c r="A100" s="41"/>
      <c r="B100" s="42"/>
      <c r="C100" s="42"/>
      <c r="D100" s="42"/>
      <c r="E100" s="42"/>
      <c r="F100" s="42"/>
      <c r="G100" s="42"/>
    </row>
    <row r="101" customFormat="false" ht="15" hidden="false" customHeight="false" outlineLevel="0" collapsed="false">
      <c r="A101" s="41"/>
      <c r="B101" s="42"/>
      <c r="C101" s="42"/>
      <c r="D101" s="42"/>
      <c r="E101" s="42"/>
      <c r="F101" s="42"/>
      <c r="G101" s="42"/>
    </row>
    <row r="102" customFormat="false" ht="15" hidden="false" customHeight="false" outlineLevel="0" collapsed="false">
      <c r="A102" s="41"/>
      <c r="B102" s="42"/>
      <c r="C102" s="42"/>
      <c r="D102" s="42"/>
      <c r="E102" s="42"/>
      <c r="F102" s="42"/>
      <c r="G102" s="42"/>
    </row>
    <row r="103" customFormat="false" ht="15" hidden="false" customHeight="false" outlineLevel="0" collapsed="false">
      <c r="A103" s="41"/>
      <c r="B103" s="42"/>
      <c r="C103" s="42"/>
      <c r="D103" s="42"/>
      <c r="E103" s="42"/>
      <c r="F103" s="42"/>
      <c r="G103" s="42"/>
    </row>
    <row r="104" customFormat="false" ht="15" hidden="false" customHeight="false" outlineLevel="0" collapsed="false">
      <c r="A104" s="41"/>
      <c r="B104" s="42"/>
      <c r="C104" s="42"/>
      <c r="D104" s="42"/>
      <c r="E104" s="42"/>
      <c r="F104" s="42"/>
      <c r="G104" s="42"/>
    </row>
    <row r="105" customFormat="false" ht="15" hidden="false" customHeight="false" outlineLevel="0" collapsed="false">
      <c r="A105" s="41"/>
      <c r="B105" s="42"/>
      <c r="C105" s="42"/>
      <c r="D105" s="42"/>
      <c r="E105" s="42"/>
      <c r="F105" s="42"/>
      <c r="G105" s="42"/>
    </row>
    <row r="106" customFormat="false" ht="15" hidden="false" customHeight="false" outlineLevel="0" collapsed="false">
      <c r="A106" s="41"/>
      <c r="B106" s="42"/>
      <c r="C106" s="42"/>
      <c r="D106" s="42"/>
      <c r="E106" s="42"/>
      <c r="F106" s="42"/>
      <c r="G106" s="42"/>
    </row>
    <row r="107" customFormat="false" ht="15" hidden="false" customHeight="false" outlineLevel="0" collapsed="false">
      <c r="A107" s="41"/>
      <c r="B107" s="42"/>
      <c r="C107" s="42"/>
      <c r="D107" s="42"/>
      <c r="E107" s="42"/>
      <c r="F107" s="42"/>
      <c r="G107" s="42"/>
    </row>
    <row r="108" customFormat="false" ht="15" hidden="false" customHeight="false" outlineLevel="0" collapsed="false">
      <c r="A108" s="41"/>
      <c r="B108" s="42"/>
      <c r="C108" s="42"/>
      <c r="D108" s="42"/>
      <c r="E108" s="42"/>
      <c r="F108" s="42"/>
      <c r="G108" s="42"/>
    </row>
    <row r="109" customFormat="false" ht="15" hidden="false" customHeight="false" outlineLevel="0" collapsed="false">
      <c r="A109" s="41"/>
      <c r="B109" s="42"/>
      <c r="C109" s="42"/>
      <c r="D109" s="42"/>
      <c r="E109" s="42"/>
      <c r="F109" s="42"/>
      <c r="G109" s="42"/>
    </row>
    <row r="110" customFormat="false" ht="15" hidden="false" customHeight="false" outlineLevel="0" collapsed="false">
      <c r="A110" s="41"/>
      <c r="B110" s="42"/>
      <c r="C110" s="42"/>
      <c r="D110" s="42"/>
      <c r="E110" s="42"/>
      <c r="F110" s="42"/>
      <c r="G110" s="42"/>
    </row>
    <row r="111" customFormat="false" ht="15" hidden="false" customHeight="false" outlineLevel="0" collapsed="false">
      <c r="A111" s="41"/>
      <c r="B111" s="42"/>
      <c r="C111" s="42"/>
      <c r="D111" s="42"/>
      <c r="E111" s="42"/>
      <c r="F111" s="42"/>
      <c r="G111" s="42"/>
    </row>
    <row r="112" customFormat="false" ht="15" hidden="false" customHeight="false" outlineLevel="0" collapsed="false">
      <c r="A112" s="41"/>
      <c r="B112" s="42"/>
      <c r="C112" s="42"/>
      <c r="D112" s="42"/>
      <c r="E112" s="42"/>
      <c r="F112" s="42"/>
      <c r="G112" s="42"/>
    </row>
    <row r="113" customFormat="false" ht="15" hidden="false" customHeight="false" outlineLevel="0" collapsed="false">
      <c r="A113" s="41"/>
      <c r="B113" s="42"/>
      <c r="C113" s="42"/>
      <c r="D113" s="42"/>
      <c r="E113" s="42"/>
      <c r="F113" s="42"/>
      <c r="G113" s="42"/>
    </row>
    <row r="114" customFormat="false" ht="15" hidden="false" customHeight="false" outlineLevel="0" collapsed="false">
      <c r="A114" s="41"/>
      <c r="B114" s="42"/>
      <c r="C114" s="42"/>
      <c r="D114" s="42"/>
      <c r="E114" s="42"/>
      <c r="F114" s="42"/>
      <c r="G114" s="42"/>
    </row>
    <row r="115" customFormat="false" ht="15" hidden="false" customHeight="false" outlineLevel="0" collapsed="false">
      <c r="A115" s="41"/>
      <c r="B115" s="42"/>
      <c r="C115" s="42"/>
      <c r="D115" s="42"/>
      <c r="E115" s="42"/>
      <c r="F115" s="42"/>
      <c r="G115" s="42"/>
    </row>
    <row r="116" customFormat="false" ht="15" hidden="false" customHeight="false" outlineLevel="0" collapsed="false">
      <c r="A116" s="41"/>
      <c r="B116" s="42"/>
      <c r="C116" s="42"/>
      <c r="D116" s="42"/>
      <c r="E116" s="42"/>
      <c r="F116" s="42"/>
      <c r="G116" s="42"/>
    </row>
    <row r="117" customFormat="false" ht="15" hidden="false" customHeight="false" outlineLevel="0" collapsed="false">
      <c r="A117" s="41"/>
      <c r="B117" s="42"/>
      <c r="C117" s="42"/>
      <c r="D117" s="42"/>
      <c r="E117" s="42"/>
      <c r="F117" s="42"/>
      <c r="G117" s="42"/>
    </row>
    <row r="118" customFormat="false" ht="15" hidden="false" customHeight="false" outlineLevel="0" collapsed="false">
      <c r="A118" s="41"/>
      <c r="B118" s="42"/>
      <c r="C118" s="42"/>
      <c r="D118" s="42"/>
      <c r="E118" s="42"/>
      <c r="F118" s="42"/>
      <c r="G118" s="42"/>
    </row>
    <row r="119" customFormat="false" ht="15" hidden="false" customHeight="false" outlineLevel="0" collapsed="false">
      <c r="A119" s="41"/>
      <c r="B119" s="42"/>
      <c r="C119" s="42"/>
      <c r="D119" s="42"/>
      <c r="E119" s="42"/>
      <c r="F119" s="42"/>
      <c r="G119" s="42"/>
    </row>
    <row r="120" customFormat="false" ht="15" hidden="false" customHeight="false" outlineLevel="0" collapsed="false">
      <c r="A120" s="41"/>
      <c r="B120" s="42"/>
      <c r="C120" s="42"/>
      <c r="D120" s="42"/>
      <c r="E120" s="42"/>
      <c r="F120" s="42"/>
      <c r="G120" s="42"/>
    </row>
    <row r="121" customFormat="false" ht="15" hidden="false" customHeight="false" outlineLevel="0" collapsed="false">
      <c r="A121" s="41"/>
      <c r="B121" s="42"/>
      <c r="C121" s="42"/>
      <c r="D121" s="42"/>
      <c r="E121" s="42"/>
      <c r="F121" s="42"/>
      <c r="G121" s="42"/>
    </row>
    <row r="122" customFormat="false" ht="15" hidden="false" customHeight="false" outlineLevel="0" collapsed="false">
      <c r="A122" s="41"/>
      <c r="B122" s="42"/>
      <c r="C122" s="42"/>
      <c r="D122" s="42"/>
      <c r="E122" s="42"/>
      <c r="F122" s="42"/>
      <c r="G122" s="42"/>
    </row>
    <row r="123" customFormat="false" ht="15" hidden="false" customHeight="false" outlineLevel="0" collapsed="false">
      <c r="A123" s="41"/>
      <c r="B123" s="42"/>
      <c r="C123" s="42"/>
      <c r="D123" s="42"/>
      <c r="E123" s="42"/>
      <c r="F123" s="42"/>
      <c r="G123" s="42"/>
    </row>
    <row r="124" customFormat="false" ht="15" hidden="false" customHeight="false" outlineLevel="0" collapsed="false">
      <c r="A124" s="41"/>
      <c r="B124" s="42"/>
      <c r="C124" s="42"/>
      <c r="D124" s="42"/>
      <c r="E124" s="42"/>
      <c r="F124" s="42"/>
      <c r="G124" s="42"/>
    </row>
    <row r="125" customFormat="false" ht="15" hidden="false" customHeight="false" outlineLevel="0" collapsed="false">
      <c r="A125" s="41"/>
      <c r="B125" s="42"/>
      <c r="C125" s="42"/>
      <c r="D125" s="42"/>
      <c r="E125" s="42"/>
      <c r="F125" s="42"/>
      <c r="G125" s="42"/>
    </row>
    <row r="126" customFormat="false" ht="15" hidden="false" customHeight="false" outlineLevel="0" collapsed="false">
      <c r="A126" s="41"/>
      <c r="B126" s="42"/>
      <c r="C126" s="42"/>
      <c r="D126" s="42"/>
      <c r="E126" s="42"/>
      <c r="F126" s="42"/>
      <c r="G126" s="42"/>
    </row>
    <row r="127" customFormat="false" ht="15" hidden="false" customHeight="false" outlineLevel="0" collapsed="false">
      <c r="A127" s="41"/>
      <c r="B127" s="42"/>
      <c r="C127" s="42"/>
      <c r="D127" s="42"/>
      <c r="E127" s="42"/>
      <c r="F127" s="42"/>
      <c r="G127" s="42"/>
    </row>
    <row r="128" customFormat="false" ht="15" hidden="false" customHeight="false" outlineLevel="0" collapsed="false">
      <c r="A128" s="41"/>
      <c r="B128" s="42"/>
      <c r="C128" s="42"/>
      <c r="D128" s="42"/>
      <c r="E128" s="42"/>
      <c r="F128" s="42"/>
      <c r="G128" s="42"/>
    </row>
    <row r="129" customFormat="false" ht="15" hidden="false" customHeight="false" outlineLevel="0" collapsed="false">
      <c r="A129" s="41"/>
      <c r="B129" s="42"/>
      <c r="C129" s="42"/>
      <c r="D129" s="42"/>
      <c r="E129" s="42"/>
      <c r="F129" s="42"/>
      <c r="G129" s="42"/>
    </row>
    <row r="130" customFormat="false" ht="15" hidden="false" customHeight="false" outlineLevel="0" collapsed="false">
      <c r="A130" s="41"/>
      <c r="B130" s="42"/>
      <c r="C130" s="42"/>
      <c r="D130" s="42"/>
      <c r="E130" s="42"/>
      <c r="F130" s="42"/>
      <c r="G130" s="42"/>
    </row>
    <row r="131" customFormat="false" ht="15" hidden="false" customHeight="false" outlineLevel="0" collapsed="false">
      <c r="A131" s="41"/>
      <c r="B131" s="42"/>
      <c r="C131" s="42"/>
      <c r="D131" s="42"/>
      <c r="E131" s="42"/>
      <c r="F131" s="42"/>
      <c r="G131" s="42"/>
    </row>
    <row r="132" customFormat="false" ht="15" hidden="false" customHeight="false" outlineLevel="0" collapsed="false">
      <c r="A132" s="41"/>
      <c r="B132" s="42"/>
      <c r="C132" s="42"/>
      <c r="D132" s="42"/>
      <c r="E132" s="42"/>
      <c r="F132" s="42"/>
      <c r="G132" s="42"/>
    </row>
    <row r="133" customFormat="false" ht="15" hidden="false" customHeight="false" outlineLevel="0" collapsed="false">
      <c r="A133" s="41"/>
      <c r="B133" s="42"/>
      <c r="C133" s="42"/>
      <c r="D133" s="42"/>
      <c r="E133" s="42"/>
      <c r="F133" s="42"/>
      <c r="G133" s="42"/>
    </row>
    <row r="134" customFormat="false" ht="15" hidden="false" customHeight="false" outlineLevel="0" collapsed="false">
      <c r="A134" s="41"/>
      <c r="B134" s="42"/>
      <c r="C134" s="42"/>
      <c r="D134" s="42"/>
      <c r="E134" s="42"/>
      <c r="F134" s="42"/>
      <c r="G134" s="42"/>
    </row>
    <row r="135" customFormat="false" ht="15" hidden="false" customHeight="false" outlineLevel="0" collapsed="false">
      <c r="A135" s="41"/>
      <c r="B135" s="42"/>
      <c r="C135" s="42"/>
      <c r="D135" s="42"/>
      <c r="E135" s="42"/>
      <c r="F135" s="42"/>
      <c r="G135" s="42"/>
    </row>
    <row r="136" customFormat="false" ht="15" hidden="false" customHeight="false" outlineLevel="0" collapsed="false">
      <c r="A136" s="41"/>
      <c r="B136" s="42"/>
      <c r="C136" s="42"/>
      <c r="D136" s="42"/>
      <c r="E136" s="42"/>
      <c r="F136" s="42"/>
      <c r="G136" s="42"/>
    </row>
    <row r="137" customFormat="false" ht="15" hidden="false" customHeight="false" outlineLevel="0" collapsed="false">
      <c r="A137" s="41"/>
      <c r="B137" s="42"/>
      <c r="C137" s="42"/>
      <c r="D137" s="42"/>
      <c r="E137" s="42"/>
      <c r="F137" s="42"/>
      <c r="G137" s="42"/>
    </row>
    <row r="138" customFormat="false" ht="15" hidden="false" customHeight="false" outlineLevel="0" collapsed="false">
      <c r="A138" s="41"/>
      <c r="B138" s="42"/>
      <c r="C138" s="42"/>
      <c r="D138" s="42"/>
      <c r="E138" s="42"/>
      <c r="F138" s="42"/>
      <c r="G138" s="42"/>
    </row>
    <row r="139" customFormat="false" ht="15" hidden="false" customHeight="false" outlineLevel="0" collapsed="false">
      <c r="A139" s="41"/>
      <c r="B139" s="42"/>
      <c r="C139" s="42"/>
      <c r="D139" s="42"/>
      <c r="E139" s="42"/>
      <c r="F139" s="42"/>
      <c r="G139" s="42"/>
    </row>
    <row r="140" customFormat="false" ht="15" hidden="false" customHeight="false" outlineLevel="0" collapsed="false">
      <c r="A140" s="41"/>
      <c r="B140" s="42"/>
      <c r="C140" s="42"/>
      <c r="D140" s="42"/>
      <c r="E140" s="42"/>
      <c r="F140" s="42"/>
      <c r="G140" s="42"/>
    </row>
    <row r="141" customFormat="false" ht="15" hidden="false" customHeight="false" outlineLevel="0" collapsed="false">
      <c r="A141" s="41"/>
      <c r="B141" s="42"/>
      <c r="C141" s="42"/>
      <c r="D141" s="42"/>
      <c r="E141" s="42"/>
      <c r="F141" s="42"/>
      <c r="G141" s="42"/>
    </row>
    <row r="142" customFormat="false" ht="15" hidden="false" customHeight="false" outlineLevel="0" collapsed="false">
      <c r="A142" s="41"/>
      <c r="B142" s="42"/>
      <c r="C142" s="42"/>
      <c r="D142" s="42"/>
      <c r="E142" s="42"/>
      <c r="F142" s="42"/>
      <c r="G142" s="42"/>
    </row>
    <row r="143" customFormat="false" ht="15" hidden="false" customHeight="false" outlineLevel="0" collapsed="false">
      <c r="A143" s="41"/>
      <c r="B143" s="42"/>
      <c r="C143" s="42"/>
      <c r="D143" s="42"/>
      <c r="E143" s="42"/>
      <c r="F143" s="42"/>
      <c r="G143" s="42"/>
    </row>
    <row r="144" customFormat="false" ht="15" hidden="false" customHeight="false" outlineLevel="0" collapsed="false">
      <c r="A144" s="41"/>
      <c r="B144" s="42"/>
      <c r="C144" s="42"/>
      <c r="D144" s="42"/>
      <c r="E144" s="42"/>
      <c r="F144" s="42"/>
      <c r="G144" s="42"/>
    </row>
    <row r="145" customFormat="false" ht="15" hidden="false" customHeight="false" outlineLevel="0" collapsed="false">
      <c r="A145" s="41"/>
      <c r="B145" s="42"/>
      <c r="C145" s="42"/>
      <c r="D145" s="42"/>
      <c r="E145" s="42"/>
      <c r="F145" s="42"/>
      <c r="G145" s="42"/>
    </row>
    <row r="146" customFormat="false" ht="15" hidden="false" customHeight="false" outlineLevel="0" collapsed="false">
      <c r="A146" s="41"/>
      <c r="B146" s="42"/>
      <c r="C146" s="42"/>
      <c r="D146" s="42"/>
      <c r="E146" s="42"/>
      <c r="F146" s="42"/>
      <c r="G146" s="42"/>
    </row>
    <row r="147" customFormat="false" ht="15" hidden="false" customHeight="false" outlineLevel="0" collapsed="false">
      <c r="A147" s="41"/>
      <c r="B147" s="42"/>
      <c r="C147" s="42"/>
      <c r="D147" s="42"/>
      <c r="E147" s="42"/>
      <c r="F147" s="42"/>
      <c r="G147" s="42"/>
    </row>
    <row r="148" customFormat="false" ht="15" hidden="false" customHeight="false" outlineLevel="0" collapsed="false">
      <c r="A148" s="41"/>
      <c r="B148" s="42"/>
      <c r="C148" s="42"/>
      <c r="D148" s="42"/>
      <c r="E148" s="42"/>
      <c r="F148" s="42"/>
      <c r="G148" s="42"/>
    </row>
    <row r="149" customFormat="false" ht="15" hidden="false" customHeight="false" outlineLevel="0" collapsed="false">
      <c r="A149" s="41"/>
      <c r="B149" s="42"/>
      <c r="C149" s="42"/>
      <c r="D149" s="42"/>
      <c r="E149" s="42"/>
      <c r="F149" s="42"/>
      <c r="G149" s="42"/>
    </row>
    <row r="150" customFormat="false" ht="15" hidden="false" customHeight="false" outlineLevel="0" collapsed="false">
      <c r="A150" s="41"/>
      <c r="B150" s="42"/>
      <c r="C150" s="42"/>
      <c r="D150" s="42"/>
      <c r="E150" s="42"/>
      <c r="F150" s="42"/>
      <c r="G150" s="42"/>
    </row>
    <row r="151" customFormat="false" ht="15" hidden="false" customHeight="false" outlineLevel="0" collapsed="false">
      <c r="A151" s="41"/>
      <c r="B151" s="42"/>
      <c r="C151" s="42"/>
      <c r="D151" s="42"/>
      <c r="E151" s="42"/>
      <c r="F151" s="42"/>
      <c r="G151" s="42"/>
    </row>
    <row r="152" customFormat="false" ht="15" hidden="false" customHeight="false" outlineLevel="0" collapsed="false">
      <c r="A152" s="41"/>
      <c r="B152" s="42"/>
      <c r="C152" s="42"/>
      <c r="D152" s="42"/>
      <c r="E152" s="42"/>
      <c r="F152" s="42"/>
      <c r="G152" s="42"/>
    </row>
    <row r="153" customFormat="false" ht="15" hidden="false" customHeight="false" outlineLevel="0" collapsed="false">
      <c r="A153" s="41"/>
      <c r="B153" s="42"/>
      <c r="C153" s="42"/>
      <c r="D153" s="42"/>
      <c r="E153" s="42"/>
      <c r="F153" s="42"/>
      <c r="G153" s="42"/>
    </row>
    <row r="154" customFormat="false" ht="15" hidden="false" customHeight="false" outlineLevel="0" collapsed="false">
      <c r="A154" s="41"/>
      <c r="B154" s="42"/>
      <c r="C154" s="42"/>
      <c r="D154" s="42"/>
      <c r="E154" s="42"/>
      <c r="F154" s="42"/>
      <c r="G154" s="42"/>
    </row>
    <row r="155" customFormat="false" ht="15" hidden="false" customHeight="false" outlineLevel="0" collapsed="false">
      <c r="A155" s="41"/>
      <c r="B155" s="42"/>
      <c r="C155" s="42"/>
      <c r="D155" s="42"/>
      <c r="E155" s="42"/>
      <c r="F155" s="42"/>
      <c r="G155" s="42"/>
    </row>
    <row r="156" customFormat="false" ht="15" hidden="false" customHeight="false" outlineLevel="0" collapsed="false">
      <c r="A156" s="41"/>
      <c r="B156" s="42"/>
      <c r="C156" s="42"/>
      <c r="D156" s="42"/>
      <c r="E156" s="42"/>
      <c r="F156" s="42"/>
      <c r="G156" s="42"/>
    </row>
    <row r="157" customFormat="false" ht="15" hidden="false" customHeight="false" outlineLevel="0" collapsed="false">
      <c r="A157" s="41"/>
      <c r="B157" s="42"/>
      <c r="C157" s="42"/>
      <c r="D157" s="42"/>
      <c r="E157" s="42"/>
      <c r="F157" s="42"/>
      <c r="G157" s="42"/>
    </row>
    <row r="158" customFormat="false" ht="15" hidden="false" customHeight="false" outlineLevel="0" collapsed="false">
      <c r="A158" s="41"/>
      <c r="B158" s="42"/>
      <c r="C158" s="42"/>
      <c r="D158" s="42"/>
      <c r="E158" s="42"/>
      <c r="F158" s="42"/>
      <c r="G158" s="42"/>
    </row>
    <row r="159" customFormat="false" ht="15" hidden="false" customHeight="false" outlineLevel="0" collapsed="false">
      <c r="A159" s="41"/>
      <c r="B159" s="42"/>
      <c r="C159" s="42"/>
      <c r="D159" s="42"/>
      <c r="E159" s="42"/>
      <c r="F159" s="42"/>
      <c r="G159" s="42"/>
    </row>
    <row r="160" customFormat="false" ht="15" hidden="false" customHeight="false" outlineLevel="0" collapsed="false">
      <c r="A160" s="41"/>
      <c r="B160" s="42"/>
      <c r="C160" s="42"/>
      <c r="D160" s="42"/>
      <c r="E160" s="42"/>
      <c r="F160" s="42"/>
      <c r="G160" s="42"/>
    </row>
    <row r="161" customFormat="false" ht="15" hidden="false" customHeight="false" outlineLevel="0" collapsed="false">
      <c r="A161" s="41"/>
      <c r="B161" s="42"/>
      <c r="C161" s="42"/>
      <c r="D161" s="42"/>
      <c r="E161" s="42"/>
      <c r="F161" s="42"/>
      <c r="G161" s="42"/>
    </row>
    <row r="162" customFormat="false" ht="15" hidden="false" customHeight="false" outlineLevel="0" collapsed="false">
      <c r="A162" s="41"/>
      <c r="B162" s="42"/>
      <c r="C162" s="42"/>
      <c r="D162" s="42"/>
      <c r="E162" s="42"/>
      <c r="F162" s="42"/>
      <c r="G162" s="42"/>
    </row>
    <row r="163" customFormat="false" ht="15" hidden="false" customHeight="false" outlineLevel="0" collapsed="false">
      <c r="A163" s="41"/>
      <c r="B163" s="42"/>
      <c r="C163" s="42"/>
      <c r="D163" s="42"/>
      <c r="E163" s="42"/>
      <c r="F163" s="42"/>
      <c r="G163" s="42"/>
    </row>
    <row r="164" customFormat="false" ht="15" hidden="false" customHeight="false" outlineLevel="0" collapsed="false">
      <c r="A164" s="41"/>
      <c r="B164" s="42"/>
      <c r="C164" s="42"/>
      <c r="D164" s="42"/>
      <c r="E164" s="42"/>
      <c r="F164" s="42"/>
      <c r="G164" s="42"/>
    </row>
    <row r="165" customFormat="false" ht="15" hidden="false" customHeight="false" outlineLevel="0" collapsed="false">
      <c r="A165" s="41"/>
      <c r="B165" s="42"/>
      <c r="C165" s="42"/>
      <c r="D165" s="42"/>
      <c r="E165" s="42"/>
      <c r="F165" s="42"/>
      <c r="G165" s="42"/>
    </row>
    <row r="166" customFormat="false" ht="15" hidden="false" customHeight="false" outlineLevel="0" collapsed="false">
      <c r="A166" s="41"/>
      <c r="B166" s="42"/>
      <c r="C166" s="42"/>
      <c r="D166" s="42"/>
      <c r="E166" s="42"/>
      <c r="F166" s="42"/>
      <c r="G166" s="42"/>
    </row>
    <row r="167" customFormat="false" ht="15" hidden="false" customHeight="false" outlineLevel="0" collapsed="false">
      <c r="A167" s="41"/>
      <c r="B167" s="42"/>
      <c r="C167" s="42"/>
      <c r="D167" s="42"/>
      <c r="E167" s="42"/>
      <c r="F167" s="42"/>
      <c r="G167" s="42"/>
    </row>
    <row r="168" customFormat="false" ht="15" hidden="false" customHeight="false" outlineLevel="0" collapsed="false">
      <c r="A168" s="41"/>
      <c r="B168" s="42"/>
      <c r="C168" s="42"/>
      <c r="D168" s="42"/>
      <c r="E168" s="42"/>
      <c r="F168" s="42"/>
      <c r="G168" s="42"/>
    </row>
    <row r="169" customFormat="false" ht="15" hidden="false" customHeight="false" outlineLevel="0" collapsed="false">
      <c r="A169" s="41"/>
      <c r="B169" s="42"/>
      <c r="C169" s="42"/>
      <c r="D169" s="42"/>
      <c r="E169" s="42"/>
      <c r="F169" s="42"/>
      <c r="G169" s="42"/>
    </row>
    <row r="170" customFormat="false" ht="15" hidden="false" customHeight="false" outlineLevel="0" collapsed="false">
      <c r="A170" s="41"/>
      <c r="B170" s="42"/>
      <c r="C170" s="42"/>
      <c r="D170" s="42"/>
      <c r="E170" s="42"/>
      <c r="F170" s="42"/>
      <c r="G170" s="42"/>
    </row>
    <row r="171" customFormat="false" ht="15" hidden="false" customHeight="false" outlineLevel="0" collapsed="false">
      <c r="A171" s="41"/>
      <c r="B171" s="42"/>
      <c r="C171" s="42"/>
      <c r="D171" s="42"/>
      <c r="E171" s="42"/>
      <c r="F171" s="42"/>
      <c r="G171" s="42"/>
    </row>
    <row r="172" customFormat="false" ht="15" hidden="false" customHeight="false" outlineLevel="0" collapsed="false">
      <c r="A172" s="41"/>
      <c r="B172" s="42"/>
      <c r="C172" s="42"/>
      <c r="D172" s="42"/>
      <c r="E172" s="42"/>
      <c r="F172" s="42"/>
      <c r="G172" s="42"/>
    </row>
    <row r="173" customFormat="false" ht="15" hidden="false" customHeight="false" outlineLevel="0" collapsed="false">
      <c r="A173" s="41"/>
      <c r="B173" s="42"/>
      <c r="C173" s="42"/>
      <c r="D173" s="42"/>
      <c r="E173" s="42"/>
      <c r="F173" s="42"/>
      <c r="G173" s="42"/>
    </row>
    <row r="174" customFormat="false" ht="15" hidden="false" customHeight="false" outlineLevel="0" collapsed="false">
      <c r="A174" s="41"/>
      <c r="B174" s="42"/>
      <c r="C174" s="42"/>
      <c r="D174" s="42"/>
      <c r="E174" s="42"/>
      <c r="F174" s="42"/>
      <c r="G174" s="42"/>
    </row>
    <row r="175" customFormat="false" ht="15" hidden="false" customHeight="false" outlineLevel="0" collapsed="false">
      <c r="A175" s="41"/>
      <c r="B175" s="42"/>
      <c r="C175" s="42"/>
      <c r="D175" s="42"/>
      <c r="E175" s="42"/>
      <c r="F175" s="42"/>
      <c r="G175" s="42"/>
    </row>
    <row r="176" customFormat="false" ht="15" hidden="false" customHeight="false" outlineLevel="0" collapsed="false">
      <c r="A176" s="41"/>
      <c r="B176" s="42"/>
      <c r="C176" s="42"/>
      <c r="D176" s="42"/>
      <c r="E176" s="42"/>
      <c r="F176" s="42"/>
      <c r="G176" s="42"/>
    </row>
    <row r="177" customFormat="false" ht="15" hidden="false" customHeight="false" outlineLevel="0" collapsed="false">
      <c r="A177" s="41"/>
      <c r="B177" s="42"/>
      <c r="C177" s="42"/>
      <c r="D177" s="42"/>
      <c r="E177" s="42"/>
      <c r="F177" s="42"/>
      <c r="G177" s="42"/>
    </row>
    <row r="178" customFormat="false" ht="15" hidden="false" customHeight="false" outlineLevel="0" collapsed="false">
      <c r="A178" s="41"/>
      <c r="B178" s="42"/>
      <c r="C178" s="42"/>
      <c r="D178" s="42"/>
      <c r="E178" s="42"/>
      <c r="F178" s="42"/>
      <c r="G178" s="42"/>
    </row>
    <row r="179" customFormat="false" ht="15" hidden="false" customHeight="false" outlineLevel="0" collapsed="false">
      <c r="A179" s="41"/>
      <c r="B179" s="42"/>
      <c r="C179" s="42"/>
      <c r="D179" s="42"/>
      <c r="E179" s="42"/>
      <c r="F179" s="42"/>
      <c r="G179" s="42"/>
    </row>
    <row r="180" customFormat="false" ht="15" hidden="false" customHeight="false" outlineLevel="0" collapsed="false">
      <c r="A180" s="41"/>
      <c r="B180" s="42"/>
      <c r="C180" s="42"/>
      <c r="D180" s="42"/>
      <c r="E180" s="42"/>
      <c r="F180" s="42"/>
      <c r="G180" s="42"/>
    </row>
    <row r="181" customFormat="false" ht="15" hidden="false" customHeight="false" outlineLevel="0" collapsed="false">
      <c r="A181" s="41"/>
      <c r="B181" s="42"/>
      <c r="C181" s="42"/>
      <c r="D181" s="42"/>
      <c r="E181" s="42"/>
      <c r="F181" s="42"/>
      <c r="G181" s="42"/>
    </row>
    <row r="182" customFormat="false" ht="15" hidden="false" customHeight="false" outlineLevel="0" collapsed="false">
      <c r="A182" s="41"/>
      <c r="B182" s="42"/>
      <c r="C182" s="42"/>
      <c r="D182" s="42"/>
      <c r="E182" s="42"/>
      <c r="F182" s="42"/>
      <c r="G182" s="42"/>
    </row>
    <row r="183" customFormat="false" ht="15" hidden="false" customHeight="false" outlineLevel="0" collapsed="false">
      <c r="A183" s="41"/>
      <c r="B183" s="42"/>
      <c r="C183" s="42"/>
      <c r="D183" s="42"/>
      <c r="E183" s="42"/>
      <c r="F183" s="42"/>
      <c r="G183" s="42"/>
    </row>
    <row r="184" customFormat="false" ht="15" hidden="false" customHeight="false" outlineLevel="0" collapsed="false">
      <c r="A184" s="41"/>
      <c r="B184" s="42"/>
      <c r="C184" s="42"/>
      <c r="D184" s="42"/>
      <c r="E184" s="42"/>
      <c r="F184" s="42"/>
      <c r="G184" s="42"/>
    </row>
    <row r="185" customFormat="false" ht="15" hidden="false" customHeight="false" outlineLevel="0" collapsed="false">
      <c r="A185" s="41"/>
      <c r="B185" s="42"/>
      <c r="C185" s="42"/>
      <c r="D185" s="42"/>
      <c r="E185" s="42"/>
      <c r="F185" s="42"/>
      <c r="G185" s="42"/>
    </row>
    <row r="186" customFormat="false" ht="15" hidden="false" customHeight="false" outlineLevel="0" collapsed="false">
      <c r="A186" s="41"/>
      <c r="B186" s="42"/>
      <c r="C186" s="42"/>
      <c r="D186" s="42"/>
      <c r="E186" s="42"/>
      <c r="F186" s="42"/>
      <c r="G186" s="42"/>
    </row>
    <row r="187" customFormat="false" ht="15" hidden="false" customHeight="false" outlineLevel="0" collapsed="false">
      <c r="A187" s="41"/>
      <c r="B187" s="42"/>
      <c r="C187" s="42"/>
      <c r="D187" s="42"/>
      <c r="E187" s="42"/>
      <c r="F187" s="42"/>
      <c r="G187" s="42"/>
    </row>
    <row r="188" customFormat="false" ht="15" hidden="false" customHeight="false" outlineLevel="0" collapsed="false">
      <c r="A188" s="41"/>
      <c r="B188" s="42"/>
      <c r="C188" s="42"/>
      <c r="D188" s="42"/>
      <c r="E188" s="42"/>
      <c r="F188" s="42"/>
      <c r="G188" s="42"/>
    </row>
    <row r="189" customFormat="false" ht="15" hidden="false" customHeight="false" outlineLevel="0" collapsed="false">
      <c r="A189" s="41"/>
      <c r="B189" s="42"/>
      <c r="C189" s="42"/>
      <c r="D189" s="42"/>
      <c r="E189" s="42"/>
      <c r="F189" s="42"/>
      <c r="G189" s="42"/>
    </row>
    <row r="190" customFormat="false" ht="15" hidden="false" customHeight="false" outlineLevel="0" collapsed="false">
      <c r="A190" s="41"/>
      <c r="B190" s="42"/>
      <c r="C190" s="42"/>
      <c r="D190" s="42"/>
      <c r="E190" s="42"/>
      <c r="F190" s="42"/>
      <c r="G190" s="42"/>
    </row>
    <row r="191" customFormat="false" ht="15" hidden="false" customHeight="false" outlineLevel="0" collapsed="false">
      <c r="A191" s="41"/>
      <c r="B191" s="42"/>
      <c r="C191" s="42"/>
      <c r="D191" s="42"/>
      <c r="E191" s="42"/>
      <c r="F191" s="42"/>
      <c r="G191" s="42"/>
    </row>
    <row r="192" customFormat="false" ht="15" hidden="false" customHeight="false" outlineLevel="0" collapsed="false">
      <c r="A192" s="41"/>
      <c r="B192" s="42"/>
      <c r="C192" s="42"/>
      <c r="D192" s="42"/>
      <c r="E192" s="42"/>
      <c r="F192" s="42"/>
      <c r="G192" s="42"/>
    </row>
    <row r="193" customFormat="false" ht="15" hidden="false" customHeight="false" outlineLevel="0" collapsed="false">
      <c r="A193" s="41"/>
      <c r="B193" s="42"/>
      <c r="C193" s="42"/>
      <c r="D193" s="42"/>
      <c r="E193" s="42"/>
      <c r="F193" s="42"/>
      <c r="G193" s="42"/>
    </row>
    <row r="194" customFormat="false" ht="15" hidden="false" customHeight="false" outlineLevel="0" collapsed="false">
      <c r="A194" s="41"/>
      <c r="B194" s="42"/>
      <c r="C194" s="42"/>
      <c r="D194" s="42"/>
      <c r="E194" s="42"/>
      <c r="F194" s="42"/>
      <c r="G194" s="42"/>
    </row>
    <row r="195" customFormat="false" ht="15" hidden="false" customHeight="false" outlineLevel="0" collapsed="false">
      <c r="A195" s="41"/>
      <c r="B195" s="42"/>
      <c r="C195" s="42"/>
      <c r="D195" s="42"/>
      <c r="E195" s="42"/>
      <c r="F195" s="42"/>
      <c r="G195" s="42"/>
    </row>
    <row r="196" customFormat="false" ht="15" hidden="false" customHeight="false" outlineLevel="0" collapsed="false">
      <c r="A196" s="41"/>
      <c r="B196" s="42"/>
      <c r="C196" s="42"/>
      <c r="D196" s="42"/>
      <c r="E196" s="42"/>
      <c r="F196" s="42"/>
      <c r="G196" s="42"/>
    </row>
    <row r="197" customFormat="false" ht="15" hidden="false" customHeight="false" outlineLevel="0" collapsed="false">
      <c r="A197" s="41"/>
      <c r="B197" s="42"/>
      <c r="C197" s="42"/>
      <c r="D197" s="42"/>
      <c r="E197" s="42"/>
      <c r="F197" s="42"/>
      <c r="G197" s="42"/>
    </row>
    <row r="198" customFormat="false" ht="15" hidden="false" customHeight="false" outlineLevel="0" collapsed="false">
      <c r="A198" s="41"/>
      <c r="B198" s="42"/>
      <c r="C198" s="42"/>
      <c r="D198" s="42"/>
      <c r="E198" s="42"/>
      <c r="F198" s="42"/>
      <c r="G198" s="42"/>
    </row>
    <row r="199" customFormat="false" ht="15" hidden="false" customHeight="false" outlineLevel="0" collapsed="false">
      <c r="A199" s="41"/>
      <c r="B199" s="42"/>
      <c r="C199" s="42"/>
      <c r="D199" s="42"/>
      <c r="E199" s="42"/>
      <c r="F199" s="42"/>
      <c r="G199" s="42"/>
    </row>
    <row r="200" customFormat="false" ht="15" hidden="false" customHeight="false" outlineLevel="0" collapsed="false">
      <c r="A200" s="41"/>
      <c r="B200" s="42"/>
      <c r="C200" s="42"/>
      <c r="D200" s="42"/>
      <c r="E200" s="42"/>
      <c r="F200" s="42"/>
      <c r="G200" s="42"/>
    </row>
    <row r="201" customFormat="false" ht="15" hidden="false" customHeight="false" outlineLevel="0" collapsed="false">
      <c r="A201" s="41"/>
      <c r="B201" s="42"/>
      <c r="C201" s="42"/>
      <c r="D201" s="42"/>
      <c r="E201" s="42"/>
      <c r="F201" s="42"/>
      <c r="G201" s="42"/>
    </row>
    <row r="202" customFormat="false" ht="15" hidden="false" customHeight="false" outlineLevel="0" collapsed="false">
      <c r="A202" s="41"/>
      <c r="B202" s="42"/>
      <c r="C202" s="42"/>
      <c r="D202" s="42"/>
      <c r="E202" s="42"/>
      <c r="F202" s="42"/>
      <c r="G202" s="42"/>
    </row>
    <row r="203" customFormat="false" ht="15" hidden="false" customHeight="false" outlineLevel="0" collapsed="false">
      <c r="A203" s="41"/>
      <c r="B203" s="42"/>
      <c r="C203" s="42"/>
      <c r="D203" s="42"/>
      <c r="E203" s="42"/>
      <c r="F203" s="42"/>
      <c r="G203" s="42"/>
    </row>
    <row r="204" customFormat="false" ht="15" hidden="false" customHeight="false" outlineLevel="0" collapsed="false">
      <c r="A204" s="41"/>
      <c r="B204" s="42"/>
      <c r="C204" s="42"/>
      <c r="D204" s="42"/>
      <c r="E204" s="42"/>
      <c r="F204" s="42"/>
      <c r="G204" s="42"/>
    </row>
    <row r="205" customFormat="false" ht="15" hidden="false" customHeight="false" outlineLevel="0" collapsed="false">
      <c r="A205" s="41"/>
      <c r="B205" s="42"/>
      <c r="C205" s="42"/>
      <c r="D205" s="42"/>
      <c r="E205" s="42"/>
      <c r="F205" s="42"/>
      <c r="G205" s="42"/>
    </row>
    <row r="206" customFormat="false" ht="15" hidden="false" customHeight="false" outlineLevel="0" collapsed="false">
      <c r="A206" s="41"/>
      <c r="B206" s="42"/>
      <c r="C206" s="42"/>
      <c r="D206" s="42"/>
      <c r="E206" s="42"/>
      <c r="F206" s="42"/>
      <c r="G206" s="42"/>
    </row>
    <row r="207" customFormat="false" ht="15" hidden="false" customHeight="false" outlineLevel="0" collapsed="false">
      <c r="A207" s="41"/>
      <c r="B207" s="42"/>
      <c r="C207" s="42"/>
      <c r="D207" s="42"/>
      <c r="E207" s="42"/>
      <c r="F207" s="42"/>
      <c r="G207" s="42"/>
    </row>
    <row r="208" customFormat="false" ht="15" hidden="false" customHeight="false" outlineLevel="0" collapsed="false">
      <c r="A208" s="41"/>
      <c r="B208" s="42"/>
      <c r="C208" s="42"/>
      <c r="D208" s="42"/>
      <c r="E208" s="42"/>
      <c r="F208" s="42"/>
      <c r="G208" s="42"/>
    </row>
    <row r="209" customFormat="false" ht="15" hidden="false" customHeight="false" outlineLevel="0" collapsed="false">
      <c r="A209" s="41"/>
      <c r="B209" s="42"/>
      <c r="C209" s="42"/>
      <c r="D209" s="42"/>
      <c r="E209" s="42"/>
      <c r="F209" s="42"/>
      <c r="G209" s="42"/>
    </row>
    <row r="210" customFormat="false" ht="15" hidden="false" customHeight="false" outlineLevel="0" collapsed="false">
      <c r="A210" s="41"/>
      <c r="B210" s="42"/>
      <c r="C210" s="42"/>
      <c r="D210" s="42"/>
      <c r="E210" s="42"/>
      <c r="F210" s="42"/>
      <c r="G210" s="42"/>
    </row>
    <row r="211" customFormat="false" ht="15" hidden="false" customHeight="false" outlineLevel="0" collapsed="false">
      <c r="A211" s="41"/>
      <c r="B211" s="42"/>
      <c r="C211" s="42"/>
      <c r="D211" s="42"/>
      <c r="E211" s="42"/>
      <c r="F211" s="42"/>
      <c r="G211" s="42"/>
    </row>
    <row r="212" customFormat="false" ht="15" hidden="false" customHeight="false" outlineLevel="0" collapsed="false">
      <c r="A212" s="41"/>
      <c r="B212" s="42"/>
      <c r="C212" s="42"/>
      <c r="D212" s="42"/>
      <c r="E212" s="42"/>
      <c r="F212" s="42"/>
      <c r="G212" s="42"/>
    </row>
    <row r="213" customFormat="false" ht="15" hidden="false" customHeight="false" outlineLevel="0" collapsed="false">
      <c r="A213" s="41"/>
      <c r="B213" s="42"/>
      <c r="C213" s="42"/>
      <c r="D213" s="42"/>
      <c r="E213" s="42"/>
      <c r="F213" s="42"/>
      <c r="G213" s="42"/>
    </row>
    <row r="214" customFormat="false" ht="15" hidden="false" customHeight="false" outlineLevel="0" collapsed="false">
      <c r="A214" s="41"/>
      <c r="B214" s="42"/>
      <c r="C214" s="42"/>
      <c r="D214" s="42"/>
      <c r="E214" s="42"/>
      <c r="F214" s="42"/>
      <c r="G214" s="42"/>
    </row>
    <row r="215" customFormat="false" ht="15" hidden="false" customHeight="false" outlineLevel="0" collapsed="false">
      <c r="A215" s="41"/>
      <c r="B215" s="42"/>
      <c r="C215" s="42"/>
      <c r="D215" s="42"/>
      <c r="E215" s="42"/>
      <c r="F215" s="42"/>
      <c r="G215" s="42"/>
    </row>
    <row r="216" customFormat="false" ht="15" hidden="false" customHeight="false" outlineLevel="0" collapsed="false">
      <c r="A216" s="41"/>
      <c r="B216" s="42"/>
      <c r="C216" s="42"/>
      <c r="D216" s="42"/>
      <c r="E216" s="42"/>
      <c r="F216" s="42"/>
      <c r="G216" s="42"/>
    </row>
    <row r="217" customFormat="false" ht="15" hidden="false" customHeight="false" outlineLevel="0" collapsed="false">
      <c r="A217" s="41"/>
      <c r="B217" s="42"/>
      <c r="C217" s="42"/>
      <c r="D217" s="42"/>
      <c r="E217" s="42"/>
      <c r="F217" s="42"/>
      <c r="G217" s="42"/>
    </row>
    <row r="218" customFormat="false" ht="15" hidden="false" customHeight="false" outlineLevel="0" collapsed="false">
      <c r="A218" s="41"/>
      <c r="B218" s="42"/>
      <c r="C218" s="42"/>
      <c r="D218" s="42"/>
      <c r="E218" s="42"/>
      <c r="F218" s="42"/>
      <c r="G218" s="42"/>
    </row>
    <row r="219" customFormat="false" ht="15" hidden="false" customHeight="false" outlineLevel="0" collapsed="false">
      <c r="A219" s="41"/>
      <c r="B219" s="42"/>
      <c r="C219" s="42"/>
      <c r="D219" s="42"/>
      <c r="E219" s="42"/>
      <c r="F219" s="42"/>
      <c r="G219" s="42"/>
    </row>
    <row r="220" customFormat="false" ht="15" hidden="false" customHeight="false" outlineLevel="0" collapsed="false">
      <c r="A220" s="41"/>
      <c r="B220" s="42"/>
      <c r="C220" s="42"/>
      <c r="D220" s="42"/>
      <c r="E220" s="42"/>
      <c r="F220" s="42"/>
      <c r="G220" s="42"/>
    </row>
    <row r="221" customFormat="false" ht="15" hidden="false" customHeight="false" outlineLevel="0" collapsed="false">
      <c r="A221" s="41"/>
      <c r="B221" s="42"/>
      <c r="C221" s="42"/>
      <c r="D221" s="42"/>
      <c r="E221" s="42"/>
      <c r="F221" s="42"/>
      <c r="G221" s="42"/>
    </row>
    <row r="222" customFormat="false" ht="15" hidden="false" customHeight="false" outlineLevel="0" collapsed="false">
      <c r="A222" s="41"/>
      <c r="B222" s="42"/>
      <c r="C222" s="42"/>
      <c r="D222" s="42"/>
      <c r="E222" s="42"/>
      <c r="F222" s="42"/>
      <c r="G222" s="42"/>
    </row>
    <row r="223" customFormat="false" ht="15" hidden="false" customHeight="false" outlineLevel="0" collapsed="false">
      <c r="A223" s="41"/>
      <c r="B223" s="42"/>
      <c r="C223" s="42"/>
      <c r="D223" s="42"/>
      <c r="E223" s="42"/>
      <c r="F223" s="42"/>
      <c r="G223" s="42"/>
    </row>
    <row r="224" customFormat="false" ht="15" hidden="false" customHeight="false" outlineLevel="0" collapsed="false">
      <c r="A224" s="41"/>
      <c r="B224" s="42"/>
      <c r="C224" s="42"/>
      <c r="D224" s="42"/>
      <c r="E224" s="42"/>
      <c r="F224" s="42"/>
      <c r="G224" s="42"/>
    </row>
    <row r="225" customFormat="false" ht="15" hidden="false" customHeight="false" outlineLevel="0" collapsed="false">
      <c r="A225" s="41"/>
      <c r="B225" s="42"/>
      <c r="C225" s="42"/>
      <c r="D225" s="42"/>
      <c r="E225" s="42"/>
      <c r="F225" s="42"/>
      <c r="G225" s="42"/>
    </row>
    <row r="226" customFormat="false" ht="15" hidden="false" customHeight="false" outlineLevel="0" collapsed="false">
      <c r="A226" s="41"/>
      <c r="B226" s="42"/>
      <c r="C226" s="42"/>
      <c r="D226" s="42"/>
      <c r="E226" s="42"/>
      <c r="F226" s="42"/>
      <c r="G226" s="42"/>
    </row>
    <row r="227" customFormat="false" ht="15" hidden="false" customHeight="false" outlineLevel="0" collapsed="false">
      <c r="A227" s="41"/>
      <c r="B227" s="42"/>
      <c r="C227" s="42"/>
      <c r="D227" s="42"/>
      <c r="E227" s="42"/>
      <c r="F227" s="42"/>
      <c r="G227" s="42"/>
    </row>
    <row r="228" customFormat="false" ht="15" hidden="false" customHeight="false" outlineLevel="0" collapsed="false">
      <c r="A228" s="41"/>
      <c r="B228" s="42"/>
      <c r="C228" s="42"/>
      <c r="D228" s="42"/>
      <c r="E228" s="42"/>
      <c r="F228" s="42"/>
      <c r="G228" s="42"/>
    </row>
    <row r="229" customFormat="false" ht="15" hidden="false" customHeight="false" outlineLevel="0" collapsed="false">
      <c r="A229" s="41"/>
      <c r="B229" s="42"/>
      <c r="C229" s="42"/>
      <c r="D229" s="42"/>
      <c r="E229" s="42"/>
      <c r="F229" s="42"/>
      <c r="G229" s="42"/>
    </row>
    <row r="230" customFormat="false" ht="15" hidden="false" customHeight="false" outlineLevel="0" collapsed="false">
      <c r="A230" s="41"/>
      <c r="B230" s="42"/>
      <c r="C230" s="42"/>
      <c r="D230" s="42"/>
      <c r="E230" s="42"/>
      <c r="F230" s="42"/>
      <c r="G230" s="42"/>
    </row>
    <row r="231" customFormat="false" ht="15" hidden="false" customHeight="false" outlineLevel="0" collapsed="false">
      <c r="A231" s="41"/>
      <c r="B231" s="42"/>
      <c r="C231" s="42"/>
      <c r="D231" s="42"/>
      <c r="E231" s="42"/>
      <c r="F231" s="42"/>
      <c r="G231" s="42"/>
    </row>
    <row r="232" customFormat="false" ht="15" hidden="false" customHeight="false" outlineLevel="0" collapsed="false">
      <c r="A232" s="41"/>
      <c r="B232" s="42"/>
      <c r="C232" s="42"/>
      <c r="D232" s="42"/>
      <c r="E232" s="42"/>
      <c r="F232" s="42"/>
      <c r="G232" s="42"/>
    </row>
    <row r="233" customFormat="false" ht="15" hidden="false" customHeight="false" outlineLevel="0" collapsed="false">
      <c r="A233" s="41"/>
      <c r="B233" s="42"/>
      <c r="C233" s="42"/>
      <c r="D233" s="42"/>
      <c r="E233" s="42"/>
      <c r="F233" s="42"/>
      <c r="G233" s="42"/>
    </row>
    <row r="234" customFormat="false" ht="15" hidden="false" customHeight="false" outlineLevel="0" collapsed="false">
      <c r="A234" s="41"/>
      <c r="B234" s="42"/>
      <c r="C234" s="42"/>
      <c r="D234" s="42"/>
      <c r="E234" s="42"/>
      <c r="F234" s="42"/>
      <c r="G234" s="42"/>
    </row>
    <row r="235" customFormat="false" ht="15" hidden="false" customHeight="false" outlineLevel="0" collapsed="false">
      <c r="A235" s="41"/>
      <c r="B235" s="42"/>
      <c r="C235" s="42"/>
      <c r="D235" s="42"/>
      <c r="E235" s="42"/>
      <c r="F235" s="42"/>
      <c r="G235" s="42"/>
    </row>
    <row r="236" customFormat="false" ht="15" hidden="false" customHeight="false" outlineLevel="0" collapsed="false">
      <c r="A236" s="41"/>
      <c r="B236" s="42"/>
      <c r="C236" s="42"/>
      <c r="D236" s="42"/>
      <c r="E236" s="42"/>
      <c r="F236" s="42"/>
      <c r="G236" s="42"/>
    </row>
    <row r="237" customFormat="false" ht="15" hidden="false" customHeight="false" outlineLevel="0" collapsed="false">
      <c r="A237" s="41"/>
      <c r="B237" s="42"/>
      <c r="C237" s="42"/>
      <c r="D237" s="42"/>
      <c r="E237" s="42"/>
      <c r="F237" s="42"/>
      <c r="G237" s="42"/>
    </row>
    <row r="238" customFormat="false" ht="15" hidden="false" customHeight="false" outlineLevel="0" collapsed="false">
      <c r="A238" s="41"/>
      <c r="B238" s="42"/>
      <c r="C238" s="42"/>
      <c r="D238" s="42"/>
      <c r="E238" s="42"/>
      <c r="F238" s="42"/>
      <c r="G238" s="42"/>
    </row>
    <row r="239" customFormat="false" ht="15" hidden="false" customHeight="false" outlineLevel="0" collapsed="false">
      <c r="A239" s="41"/>
      <c r="B239" s="42"/>
      <c r="C239" s="42"/>
      <c r="D239" s="42"/>
      <c r="E239" s="42"/>
      <c r="F239" s="42"/>
      <c r="G239" s="42"/>
    </row>
    <row r="240" customFormat="false" ht="15" hidden="false" customHeight="false" outlineLevel="0" collapsed="false">
      <c r="A240" s="41"/>
      <c r="B240" s="42"/>
      <c r="C240" s="42"/>
      <c r="D240" s="42"/>
      <c r="E240" s="42"/>
      <c r="F240" s="42"/>
      <c r="G240" s="42"/>
    </row>
    <row r="241" customFormat="false" ht="15" hidden="false" customHeight="false" outlineLevel="0" collapsed="false">
      <c r="A241" s="41"/>
      <c r="B241" s="42"/>
      <c r="C241" s="42"/>
      <c r="D241" s="42"/>
      <c r="E241" s="42"/>
      <c r="F241" s="42"/>
      <c r="G241" s="42"/>
    </row>
    <row r="242" customFormat="false" ht="15" hidden="false" customHeight="false" outlineLevel="0" collapsed="false">
      <c r="A242" s="41"/>
      <c r="B242" s="42"/>
      <c r="C242" s="42"/>
      <c r="D242" s="42"/>
      <c r="E242" s="42"/>
      <c r="F242" s="42"/>
      <c r="G242" s="42"/>
    </row>
    <row r="243" customFormat="false" ht="15" hidden="false" customHeight="false" outlineLevel="0" collapsed="false">
      <c r="A243" s="41"/>
      <c r="B243" s="42"/>
      <c r="C243" s="42"/>
      <c r="D243" s="42"/>
      <c r="E243" s="42"/>
      <c r="F243" s="42"/>
      <c r="G243" s="42"/>
    </row>
    <row r="244" customFormat="false" ht="15" hidden="false" customHeight="false" outlineLevel="0" collapsed="false">
      <c r="A244" s="41"/>
      <c r="B244" s="42"/>
      <c r="C244" s="42"/>
      <c r="D244" s="42"/>
      <c r="E244" s="42"/>
      <c r="F244" s="42"/>
      <c r="G244" s="42"/>
    </row>
    <row r="245" customFormat="false" ht="15" hidden="false" customHeight="false" outlineLevel="0" collapsed="false">
      <c r="A245" s="41"/>
      <c r="B245" s="42"/>
      <c r="C245" s="42"/>
      <c r="D245" s="42"/>
      <c r="E245" s="42"/>
      <c r="F245" s="42"/>
      <c r="G245" s="42"/>
    </row>
    <row r="246" customFormat="false" ht="15" hidden="false" customHeight="false" outlineLevel="0" collapsed="false">
      <c r="A246" s="41"/>
      <c r="B246" s="42"/>
      <c r="C246" s="42"/>
      <c r="D246" s="42"/>
      <c r="E246" s="42"/>
      <c r="F246" s="42"/>
      <c r="G246" s="42"/>
    </row>
    <row r="247" customFormat="false" ht="15" hidden="false" customHeight="false" outlineLevel="0" collapsed="false">
      <c r="A247" s="41"/>
      <c r="B247" s="42"/>
      <c r="C247" s="42"/>
      <c r="D247" s="42"/>
      <c r="E247" s="42"/>
      <c r="F247" s="42"/>
      <c r="G247" s="42"/>
    </row>
    <row r="248" customFormat="false" ht="15" hidden="false" customHeight="false" outlineLevel="0" collapsed="false">
      <c r="A248" s="41"/>
      <c r="B248" s="42"/>
      <c r="C248" s="42"/>
      <c r="D248" s="42"/>
      <c r="E248" s="42"/>
      <c r="F248" s="42"/>
      <c r="G248" s="42"/>
    </row>
    <row r="249" customFormat="false" ht="15" hidden="false" customHeight="false" outlineLevel="0" collapsed="false">
      <c r="A249" s="41"/>
      <c r="B249" s="42"/>
      <c r="C249" s="42"/>
      <c r="D249" s="42"/>
      <c r="E249" s="42"/>
      <c r="F249" s="42"/>
      <c r="G249" s="42"/>
    </row>
    <row r="250" customFormat="false" ht="15" hidden="false" customHeight="false" outlineLevel="0" collapsed="false">
      <c r="A250" s="41"/>
      <c r="B250" s="42"/>
      <c r="C250" s="42"/>
      <c r="D250" s="42"/>
      <c r="E250" s="42"/>
      <c r="F250" s="42"/>
      <c r="G250" s="42"/>
    </row>
    <row r="251" customFormat="false" ht="15" hidden="false" customHeight="false" outlineLevel="0" collapsed="false">
      <c r="A251" s="41"/>
      <c r="B251" s="42"/>
      <c r="C251" s="42"/>
      <c r="D251" s="42"/>
      <c r="E251" s="42"/>
      <c r="F251" s="42"/>
      <c r="G251" s="42"/>
    </row>
    <row r="252" customFormat="false" ht="15" hidden="false" customHeight="false" outlineLevel="0" collapsed="false">
      <c r="A252" s="41"/>
      <c r="B252" s="42"/>
      <c r="C252" s="42"/>
      <c r="D252" s="42"/>
      <c r="E252" s="42"/>
      <c r="F252" s="42"/>
      <c r="G252" s="42"/>
    </row>
    <row r="253" customFormat="false" ht="15" hidden="false" customHeight="false" outlineLevel="0" collapsed="false">
      <c r="A253" s="41"/>
      <c r="B253" s="42"/>
      <c r="C253" s="42"/>
      <c r="D253" s="42"/>
      <c r="E253" s="42"/>
      <c r="F253" s="42"/>
      <c r="G253" s="42"/>
    </row>
    <row r="254" customFormat="false" ht="15" hidden="false" customHeight="false" outlineLevel="0" collapsed="false">
      <c r="A254" s="41"/>
      <c r="B254" s="42"/>
      <c r="C254" s="42"/>
      <c r="D254" s="42"/>
      <c r="E254" s="42"/>
      <c r="F254" s="42"/>
      <c r="G254" s="42"/>
    </row>
    <row r="255" customFormat="false" ht="15" hidden="false" customHeight="false" outlineLevel="0" collapsed="false">
      <c r="A255" s="41"/>
      <c r="B255" s="42"/>
      <c r="C255" s="42"/>
      <c r="D255" s="42"/>
      <c r="E255" s="42"/>
      <c r="F255" s="42"/>
      <c r="G255" s="42"/>
    </row>
    <row r="256" customFormat="false" ht="15" hidden="false" customHeight="false" outlineLevel="0" collapsed="false">
      <c r="A256" s="41"/>
      <c r="B256" s="42"/>
      <c r="C256" s="42"/>
      <c r="D256" s="42"/>
      <c r="E256" s="42"/>
      <c r="F256" s="42"/>
      <c r="G256" s="42"/>
    </row>
    <row r="257" customFormat="false" ht="15" hidden="false" customHeight="false" outlineLevel="0" collapsed="false">
      <c r="A257" s="41"/>
      <c r="B257" s="42"/>
      <c r="C257" s="42"/>
      <c r="D257" s="42"/>
      <c r="E257" s="42"/>
      <c r="F257" s="42"/>
      <c r="G257" s="42"/>
    </row>
    <row r="258" customFormat="false" ht="15" hidden="false" customHeight="false" outlineLevel="0" collapsed="false">
      <c r="A258" s="41"/>
      <c r="B258" s="42"/>
      <c r="C258" s="42"/>
      <c r="D258" s="42"/>
      <c r="E258" s="42"/>
      <c r="F258" s="42"/>
      <c r="G258" s="42"/>
    </row>
    <row r="259" customFormat="false" ht="15" hidden="false" customHeight="false" outlineLevel="0" collapsed="false">
      <c r="A259" s="41"/>
      <c r="B259" s="42"/>
      <c r="C259" s="42"/>
      <c r="D259" s="42"/>
      <c r="E259" s="42"/>
      <c r="F259" s="42"/>
      <c r="G259" s="42"/>
    </row>
    <row r="260" customFormat="false" ht="15" hidden="false" customHeight="false" outlineLevel="0" collapsed="false">
      <c r="A260" s="41"/>
      <c r="B260" s="42"/>
      <c r="C260" s="42"/>
      <c r="D260" s="42"/>
      <c r="E260" s="42"/>
      <c r="F260" s="42"/>
      <c r="G260" s="42"/>
    </row>
    <row r="261" customFormat="false" ht="15" hidden="false" customHeight="false" outlineLevel="0" collapsed="false">
      <c r="A261" s="41"/>
      <c r="B261" s="42"/>
      <c r="C261" s="42"/>
      <c r="D261" s="42"/>
      <c r="E261" s="42"/>
      <c r="F261" s="42"/>
      <c r="G261" s="42"/>
    </row>
    <row r="262" customFormat="false" ht="15" hidden="false" customHeight="false" outlineLevel="0" collapsed="false">
      <c r="A262" s="41"/>
      <c r="B262" s="42"/>
      <c r="C262" s="42"/>
      <c r="D262" s="42"/>
      <c r="E262" s="42"/>
      <c r="F262" s="42"/>
      <c r="G262" s="42"/>
    </row>
    <row r="263" customFormat="false" ht="15" hidden="false" customHeight="false" outlineLevel="0" collapsed="false">
      <c r="A263" s="41"/>
      <c r="B263" s="42"/>
      <c r="C263" s="42"/>
      <c r="D263" s="42"/>
      <c r="E263" s="42"/>
      <c r="F263" s="42"/>
      <c r="G263" s="42"/>
    </row>
    <row r="264" customFormat="false" ht="15" hidden="false" customHeight="false" outlineLevel="0" collapsed="false">
      <c r="A264" s="41"/>
      <c r="B264" s="42"/>
      <c r="C264" s="42"/>
      <c r="D264" s="42"/>
      <c r="E264" s="42"/>
      <c r="F264" s="42"/>
      <c r="G264" s="42"/>
    </row>
    <row r="265" customFormat="false" ht="15" hidden="false" customHeight="false" outlineLevel="0" collapsed="false">
      <c r="A265" s="41"/>
      <c r="B265" s="42"/>
      <c r="C265" s="42"/>
      <c r="D265" s="42"/>
      <c r="E265" s="42"/>
      <c r="F265" s="42"/>
      <c r="G265" s="42"/>
    </row>
    <row r="266" customFormat="false" ht="15" hidden="false" customHeight="false" outlineLevel="0" collapsed="false">
      <c r="A266" s="41"/>
      <c r="B266" s="42"/>
      <c r="C266" s="42"/>
      <c r="D266" s="42"/>
      <c r="E266" s="42"/>
      <c r="F266" s="42"/>
      <c r="G266" s="42"/>
    </row>
    <row r="267" customFormat="false" ht="15" hidden="false" customHeight="false" outlineLevel="0" collapsed="false">
      <c r="A267" s="41"/>
      <c r="B267" s="42"/>
      <c r="C267" s="42"/>
      <c r="D267" s="42"/>
      <c r="E267" s="42"/>
      <c r="F267" s="42"/>
      <c r="G267" s="42"/>
    </row>
    <row r="268" customFormat="false" ht="15" hidden="false" customHeight="false" outlineLevel="0" collapsed="false">
      <c r="A268" s="41"/>
      <c r="B268" s="42"/>
      <c r="C268" s="42"/>
      <c r="D268" s="42"/>
      <c r="E268" s="42"/>
      <c r="F268" s="42"/>
      <c r="G268" s="42"/>
    </row>
    <row r="269" customFormat="false" ht="15" hidden="false" customHeight="false" outlineLevel="0" collapsed="false">
      <c r="A269" s="41"/>
      <c r="B269" s="42"/>
      <c r="C269" s="42"/>
      <c r="D269" s="42"/>
      <c r="E269" s="42"/>
      <c r="F269" s="42"/>
      <c r="G269" s="42"/>
    </row>
    <row r="270" customFormat="false" ht="15" hidden="false" customHeight="false" outlineLevel="0" collapsed="false">
      <c r="A270" s="41"/>
      <c r="B270" s="42"/>
      <c r="C270" s="42"/>
      <c r="D270" s="42"/>
      <c r="E270" s="42"/>
      <c r="F270" s="42"/>
      <c r="G270" s="42"/>
    </row>
    <row r="271" customFormat="false" ht="15" hidden="false" customHeight="false" outlineLevel="0" collapsed="false">
      <c r="A271" s="41"/>
      <c r="B271" s="42"/>
      <c r="C271" s="42"/>
      <c r="D271" s="42"/>
      <c r="E271" s="42"/>
      <c r="F271" s="42"/>
      <c r="G271" s="42"/>
    </row>
    <row r="272" customFormat="false" ht="15" hidden="false" customHeight="false" outlineLevel="0" collapsed="false">
      <c r="A272" s="41"/>
      <c r="B272" s="42"/>
      <c r="C272" s="42"/>
      <c r="D272" s="42"/>
      <c r="E272" s="42"/>
      <c r="F272" s="42"/>
      <c r="G272" s="42"/>
    </row>
    <row r="273" customFormat="false" ht="15" hidden="false" customHeight="false" outlineLevel="0" collapsed="false">
      <c r="A273" s="41"/>
      <c r="B273" s="42"/>
      <c r="C273" s="42"/>
      <c r="D273" s="42"/>
      <c r="E273" s="42"/>
      <c r="F273" s="42"/>
      <c r="G273" s="42"/>
    </row>
    <row r="274" customFormat="false" ht="15" hidden="false" customHeight="false" outlineLevel="0" collapsed="false">
      <c r="A274" s="41"/>
      <c r="B274" s="42"/>
      <c r="C274" s="42"/>
      <c r="D274" s="42"/>
      <c r="E274" s="42"/>
      <c r="F274" s="42"/>
      <c r="G274" s="42"/>
    </row>
    <row r="275" customFormat="false" ht="15" hidden="false" customHeight="false" outlineLevel="0" collapsed="false">
      <c r="A275" s="41"/>
      <c r="B275" s="42"/>
      <c r="C275" s="42"/>
      <c r="D275" s="42"/>
      <c r="E275" s="42"/>
      <c r="F275" s="42"/>
      <c r="G275" s="42"/>
    </row>
    <row r="276" customFormat="false" ht="15" hidden="false" customHeight="false" outlineLevel="0" collapsed="false">
      <c r="A276" s="41"/>
      <c r="B276" s="42"/>
      <c r="C276" s="42"/>
      <c r="D276" s="42"/>
      <c r="E276" s="42"/>
      <c r="F276" s="42"/>
      <c r="G276" s="42"/>
    </row>
    <row r="277" customFormat="false" ht="15" hidden="false" customHeight="false" outlineLevel="0" collapsed="false">
      <c r="A277" s="41"/>
      <c r="B277" s="42"/>
      <c r="C277" s="42"/>
      <c r="D277" s="42"/>
      <c r="E277" s="42"/>
      <c r="F277" s="42"/>
      <c r="G277" s="42"/>
    </row>
    <row r="278" customFormat="false" ht="15" hidden="false" customHeight="false" outlineLevel="0" collapsed="false">
      <c r="A278" s="41"/>
      <c r="B278" s="42"/>
      <c r="C278" s="42"/>
      <c r="D278" s="42"/>
      <c r="E278" s="42"/>
      <c r="F278" s="42"/>
      <c r="G278" s="42"/>
    </row>
    <row r="279" customFormat="false" ht="15" hidden="false" customHeight="false" outlineLevel="0" collapsed="false">
      <c r="A279" s="41"/>
      <c r="B279" s="42"/>
      <c r="C279" s="42"/>
      <c r="D279" s="42"/>
      <c r="E279" s="42"/>
      <c r="F279" s="42"/>
      <c r="G279" s="42"/>
    </row>
    <row r="280" customFormat="false" ht="15" hidden="false" customHeight="false" outlineLevel="0" collapsed="false">
      <c r="A280" s="41"/>
      <c r="B280" s="42"/>
      <c r="C280" s="42"/>
      <c r="D280" s="42"/>
      <c r="E280" s="42"/>
      <c r="F280" s="42"/>
      <c r="G280" s="42"/>
    </row>
    <row r="281" customFormat="false" ht="15" hidden="false" customHeight="false" outlineLevel="0" collapsed="false">
      <c r="A281" s="41"/>
      <c r="B281" s="42"/>
      <c r="C281" s="42"/>
      <c r="D281" s="42"/>
      <c r="E281" s="42"/>
      <c r="F281" s="42"/>
      <c r="G281" s="42"/>
    </row>
    <row r="282" customFormat="false" ht="15" hidden="false" customHeight="false" outlineLevel="0" collapsed="false">
      <c r="A282" s="41"/>
      <c r="B282" s="42"/>
      <c r="C282" s="42"/>
      <c r="D282" s="42"/>
      <c r="E282" s="42"/>
      <c r="F282" s="42"/>
      <c r="G282" s="42"/>
    </row>
    <row r="283" customFormat="false" ht="15" hidden="false" customHeight="false" outlineLevel="0" collapsed="false">
      <c r="A283" s="41"/>
      <c r="B283" s="42"/>
      <c r="C283" s="42"/>
      <c r="D283" s="42"/>
      <c r="E283" s="42"/>
      <c r="F283" s="42"/>
      <c r="G283" s="42"/>
    </row>
    <row r="284" customFormat="false" ht="15" hidden="false" customHeight="false" outlineLevel="0" collapsed="false">
      <c r="A284" s="41"/>
      <c r="B284" s="42"/>
      <c r="C284" s="42"/>
      <c r="D284" s="42"/>
      <c r="E284" s="42"/>
      <c r="F284" s="42"/>
      <c r="G284" s="42"/>
    </row>
    <row r="285" customFormat="false" ht="15" hidden="false" customHeight="false" outlineLevel="0" collapsed="false">
      <c r="A285" s="41"/>
      <c r="B285" s="42"/>
      <c r="C285" s="42"/>
      <c r="D285" s="42"/>
      <c r="E285" s="42"/>
      <c r="F285" s="42"/>
      <c r="G285" s="42"/>
    </row>
    <row r="286" customFormat="false" ht="15" hidden="false" customHeight="false" outlineLevel="0" collapsed="false">
      <c r="A286" s="41"/>
      <c r="B286" s="42"/>
      <c r="C286" s="42"/>
      <c r="D286" s="42"/>
      <c r="E286" s="42"/>
      <c r="F286" s="42"/>
      <c r="G286" s="42"/>
    </row>
    <row r="287" customFormat="false" ht="15" hidden="false" customHeight="false" outlineLevel="0" collapsed="false">
      <c r="A287" s="41"/>
      <c r="B287" s="42"/>
      <c r="C287" s="42"/>
      <c r="D287" s="42"/>
      <c r="E287" s="42"/>
      <c r="F287" s="42"/>
      <c r="G287" s="42"/>
    </row>
    <row r="288" customFormat="false" ht="15" hidden="false" customHeight="false" outlineLevel="0" collapsed="false">
      <c r="A288" s="41"/>
      <c r="B288" s="42"/>
      <c r="C288" s="42"/>
      <c r="D288" s="42"/>
      <c r="E288" s="42"/>
      <c r="F288" s="42"/>
      <c r="G288" s="42"/>
    </row>
    <row r="289" customFormat="false" ht="15" hidden="false" customHeight="false" outlineLevel="0" collapsed="false">
      <c r="A289" s="41"/>
      <c r="B289" s="42"/>
      <c r="C289" s="42"/>
      <c r="D289" s="42"/>
      <c r="E289" s="42"/>
      <c r="F289" s="42"/>
      <c r="G289" s="42"/>
    </row>
    <row r="290" customFormat="false" ht="15" hidden="false" customHeight="false" outlineLevel="0" collapsed="false">
      <c r="A290" s="41"/>
      <c r="B290" s="42"/>
      <c r="C290" s="42"/>
      <c r="D290" s="42"/>
      <c r="E290" s="42"/>
      <c r="F290" s="42"/>
      <c r="G290" s="42"/>
    </row>
    <row r="291" customFormat="false" ht="15" hidden="false" customHeight="false" outlineLevel="0" collapsed="false">
      <c r="A291" s="41"/>
      <c r="B291" s="42"/>
      <c r="C291" s="42"/>
      <c r="D291" s="42"/>
      <c r="E291" s="42"/>
      <c r="F291" s="42"/>
      <c r="G291" s="42"/>
    </row>
    <row r="292" customFormat="false" ht="15" hidden="false" customHeight="false" outlineLevel="0" collapsed="false">
      <c r="A292" s="41"/>
      <c r="B292" s="42"/>
      <c r="C292" s="42"/>
      <c r="D292" s="42"/>
      <c r="E292" s="42"/>
      <c r="F292" s="42"/>
      <c r="G292" s="42"/>
    </row>
    <row r="293" customFormat="false" ht="15" hidden="false" customHeight="false" outlineLevel="0" collapsed="false">
      <c r="A293" s="41"/>
      <c r="B293" s="42"/>
      <c r="C293" s="42"/>
      <c r="D293" s="42"/>
      <c r="E293" s="42"/>
      <c r="F293" s="42"/>
      <c r="G293" s="42"/>
    </row>
    <row r="294" customFormat="false" ht="15" hidden="false" customHeight="false" outlineLevel="0" collapsed="false">
      <c r="A294" s="41"/>
      <c r="B294" s="42"/>
      <c r="C294" s="42"/>
      <c r="D294" s="42"/>
      <c r="E294" s="42"/>
      <c r="F294" s="42"/>
      <c r="G294" s="42"/>
    </row>
    <row r="295" customFormat="false" ht="15" hidden="false" customHeight="false" outlineLevel="0" collapsed="false">
      <c r="A295" s="41"/>
      <c r="B295" s="42"/>
      <c r="C295" s="42"/>
      <c r="D295" s="42"/>
      <c r="E295" s="42"/>
      <c r="F295" s="42"/>
      <c r="G295" s="42"/>
    </row>
    <row r="296" customFormat="false" ht="15" hidden="false" customHeight="false" outlineLevel="0" collapsed="false">
      <c r="A296" s="41"/>
      <c r="B296" s="42"/>
      <c r="C296" s="42"/>
      <c r="D296" s="42"/>
      <c r="E296" s="42"/>
      <c r="F296" s="42"/>
      <c r="G296" s="42"/>
    </row>
    <row r="297" customFormat="false" ht="15" hidden="false" customHeight="false" outlineLevel="0" collapsed="false">
      <c r="A297" s="41"/>
      <c r="B297" s="42"/>
      <c r="C297" s="42"/>
      <c r="D297" s="42"/>
      <c r="E297" s="42"/>
      <c r="F297" s="42"/>
      <c r="G297" s="42"/>
    </row>
    <row r="298" customFormat="false" ht="15" hidden="false" customHeight="false" outlineLevel="0" collapsed="false">
      <c r="A298" s="41"/>
      <c r="B298" s="42"/>
      <c r="C298" s="42"/>
      <c r="D298" s="42"/>
      <c r="E298" s="42"/>
      <c r="F298" s="42"/>
      <c r="G298" s="42"/>
    </row>
    <row r="299" customFormat="false" ht="15" hidden="false" customHeight="false" outlineLevel="0" collapsed="false">
      <c r="A299" s="41"/>
      <c r="B299" s="42"/>
      <c r="C299" s="42"/>
      <c r="D299" s="42"/>
      <c r="E299" s="42"/>
      <c r="F299" s="42"/>
      <c r="G299" s="42"/>
    </row>
    <row r="300" customFormat="false" ht="15" hidden="false" customHeight="false" outlineLevel="0" collapsed="false">
      <c r="A300" s="41"/>
      <c r="B300" s="42"/>
      <c r="C300" s="42"/>
      <c r="D300" s="42"/>
      <c r="E300" s="42"/>
      <c r="F300" s="42"/>
      <c r="G300" s="42"/>
    </row>
    <row r="301" customFormat="false" ht="15" hidden="false" customHeight="false" outlineLevel="0" collapsed="false">
      <c r="A301" s="41"/>
      <c r="B301" s="42"/>
      <c r="C301" s="42"/>
      <c r="D301" s="42"/>
      <c r="E301" s="42"/>
      <c r="F301" s="42"/>
      <c r="G301" s="42"/>
    </row>
    <row r="302" customFormat="false" ht="15" hidden="false" customHeight="false" outlineLevel="0" collapsed="false">
      <c r="A302" s="41"/>
      <c r="B302" s="42"/>
      <c r="C302" s="42"/>
      <c r="D302" s="42"/>
      <c r="E302" s="42"/>
      <c r="F302" s="42"/>
      <c r="G302" s="42"/>
    </row>
    <row r="303" customFormat="false" ht="15" hidden="false" customHeight="false" outlineLevel="0" collapsed="false">
      <c r="A303" s="41"/>
      <c r="B303" s="42"/>
      <c r="C303" s="42"/>
      <c r="D303" s="42"/>
      <c r="E303" s="42"/>
      <c r="F303" s="42"/>
      <c r="G303" s="42"/>
    </row>
    <row r="304" customFormat="false" ht="15" hidden="false" customHeight="false" outlineLevel="0" collapsed="false">
      <c r="A304" s="41"/>
      <c r="B304" s="42"/>
      <c r="C304" s="42"/>
      <c r="D304" s="42"/>
      <c r="E304" s="42"/>
      <c r="F304" s="42"/>
      <c r="G304" s="42"/>
    </row>
    <row r="305" customFormat="false" ht="15" hidden="false" customHeight="false" outlineLevel="0" collapsed="false">
      <c r="A305" s="41"/>
      <c r="B305" s="42"/>
      <c r="C305" s="42"/>
      <c r="D305" s="42"/>
      <c r="E305" s="42"/>
      <c r="F305" s="42"/>
      <c r="G305" s="42"/>
    </row>
    <row r="306" customFormat="false" ht="15" hidden="false" customHeight="false" outlineLevel="0" collapsed="false">
      <c r="A306" s="41"/>
      <c r="B306" s="42"/>
      <c r="C306" s="42"/>
      <c r="D306" s="42"/>
      <c r="E306" s="42"/>
      <c r="F306" s="42"/>
      <c r="G306" s="42"/>
    </row>
    <row r="307" customFormat="false" ht="15" hidden="false" customHeight="false" outlineLevel="0" collapsed="false">
      <c r="A307" s="41"/>
      <c r="B307" s="42"/>
      <c r="C307" s="42"/>
      <c r="D307" s="42"/>
      <c r="E307" s="42"/>
      <c r="F307" s="42"/>
      <c r="G307" s="42"/>
    </row>
    <row r="308" customFormat="false" ht="15" hidden="false" customHeight="false" outlineLevel="0" collapsed="false">
      <c r="A308" s="41"/>
      <c r="B308" s="42"/>
      <c r="C308" s="42"/>
      <c r="D308" s="42"/>
      <c r="E308" s="42"/>
      <c r="F308" s="42"/>
      <c r="G308" s="42"/>
    </row>
    <row r="309" customFormat="false" ht="15" hidden="false" customHeight="false" outlineLevel="0" collapsed="false">
      <c r="A309" s="41"/>
      <c r="B309" s="42"/>
      <c r="C309" s="42"/>
      <c r="D309" s="42"/>
      <c r="E309" s="42"/>
      <c r="F309" s="42"/>
      <c r="G309" s="42"/>
    </row>
    <row r="310" customFormat="false" ht="15" hidden="false" customHeight="false" outlineLevel="0" collapsed="false">
      <c r="A310" s="41"/>
      <c r="B310" s="42"/>
      <c r="C310" s="42"/>
      <c r="D310" s="42"/>
      <c r="E310" s="42"/>
      <c r="F310" s="42"/>
      <c r="G310" s="42"/>
    </row>
    <row r="311" customFormat="false" ht="15" hidden="false" customHeight="false" outlineLevel="0" collapsed="false">
      <c r="A311" s="41"/>
      <c r="B311" s="42"/>
      <c r="C311" s="42"/>
      <c r="D311" s="42"/>
      <c r="E311" s="42"/>
      <c r="F311" s="42"/>
      <c r="G311" s="42"/>
    </row>
    <row r="312" customFormat="false" ht="15" hidden="false" customHeight="false" outlineLevel="0" collapsed="false">
      <c r="A312" s="41"/>
      <c r="B312" s="42"/>
      <c r="C312" s="42"/>
      <c r="D312" s="42"/>
      <c r="E312" s="42"/>
      <c r="F312" s="42"/>
      <c r="G312" s="42"/>
    </row>
    <row r="313" customFormat="false" ht="15" hidden="false" customHeight="false" outlineLevel="0" collapsed="false">
      <c r="A313" s="41"/>
      <c r="B313" s="42"/>
      <c r="C313" s="42"/>
      <c r="D313" s="42"/>
      <c r="E313" s="42"/>
      <c r="F313" s="42"/>
      <c r="G313" s="42"/>
    </row>
    <row r="314" customFormat="false" ht="15" hidden="false" customHeight="false" outlineLevel="0" collapsed="false">
      <c r="A314" s="41"/>
      <c r="B314" s="42"/>
      <c r="C314" s="42"/>
      <c r="D314" s="42"/>
      <c r="E314" s="42"/>
      <c r="F314" s="42"/>
      <c r="G314" s="42"/>
    </row>
    <row r="315" customFormat="false" ht="15" hidden="false" customHeight="false" outlineLevel="0" collapsed="false">
      <c r="A315" s="41"/>
      <c r="B315" s="42"/>
      <c r="C315" s="42"/>
      <c r="D315" s="42"/>
      <c r="E315" s="42"/>
      <c r="F315" s="42"/>
      <c r="G315" s="42"/>
    </row>
    <row r="316" customFormat="false" ht="15" hidden="false" customHeight="false" outlineLevel="0" collapsed="false">
      <c r="A316" s="41"/>
      <c r="B316" s="42"/>
      <c r="C316" s="42"/>
      <c r="D316" s="42"/>
      <c r="E316" s="42"/>
      <c r="F316" s="42"/>
      <c r="G316" s="42"/>
    </row>
    <row r="317" customFormat="false" ht="15" hidden="false" customHeight="false" outlineLevel="0" collapsed="false">
      <c r="A317" s="41"/>
      <c r="B317" s="42"/>
      <c r="C317" s="42"/>
      <c r="D317" s="42"/>
      <c r="E317" s="42"/>
      <c r="F317" s="42"/>
      <c r="G317" s="42"/>
    </row>
    <row r="318" customFormat="false" ht="15" hidden="false" customHeight="false" outlineLevel="0" collapsed="false">
      <c r="A318" s="41"/>
      <c r="B318" s="42"/>
      <c r="C318" s="42"/>
      <c r="D318" s="42"/>
      <c r="E318" s="42"/>
      <c r="F318" s="42"/>
      <c r="G318" s="42"/>
    </row>
    <row r="319" customFormat="false" ht="15" hidden="false" customHeight="false" outlineLevel="0" collapsed="false">
      <c r="A319" s="41"/>
      <c r="B319" s="42"/>
      <c r="C319" s="42"/>
      <c r="D319" s="42"/>
      <c r="E319" s="42"/>
      <c r="F319" s="42"/>
      <c r="G319" s="42"/>
    </row>
    <row r="320" customFormat="false" ht="15" hidden="false" customHeight="false" outlineLevel="0" collapsed="false">
      <c r="A320" s="41"/>
      <c r="B320" s="42"/>
      <c r="C320" s="42"/>
      <c r="D320" s="42"/>
      <c r="E320" s="42"/>
      <c r="F320" s="42"/>
      <c r="G320" s="42"/>
    </row>
    <row r="321" customFormat="false" ht="15" hidden="false" customHeight="false" outlineLevel="0" collapsed="false">
      <c r="A321" s="41"/>
      <c r="B321" s="42"/>
      <c r="C321" s="42"/>
      <c r="D321" s="42"/>
      <c r="E321" s="42"/>
      <c r="F321" s="42"/>
      <c r="G321" s="42"/>
    </row>
    <row r="322" customFormat="false" ht="15" hidden="false" customHeight="false" outlineLevel="0" collapsed="false">
      <c r="A322" s="41"/>
      <c r="B322" s="42"/>
      <c r="C322" s="42"/>
      <c r="D322" s="42"/>
      <c r="E322" s="42"/>
      <c r="F322" s="42"/>
      <c r="G322" s="42"/>
    </row>
    <row r="323" customFormat="false" ht="15" hidden="false" customHeight="false" outlineLevel="0" collapsed="false">
      <c r="A323" s="41"/>
      <c r="B323" s="42"/>
      <c r="C323" s="42"/>
      <c r="D323" s="42"/>
      <c r="E323" s="42"/>
      <c r="F323" s="42"/>
      <c r="G323" s="42"/>
    </row>
    <row r="324" customFormat="false" ht="15" hidden="false" customHeight="false" outlineLevel="0" collapsed="false">
      <c r="A324" s="41"/>
      <c r="B324" s="42"/>
      <c r="C324" s="42"/>
      <c r="D324" s="42"/>
      <c r="E324" s="42"/>
      <c r="F324" s="42"/>
      <c r="G324" s="42"/>
    </row>
    <row r="325" customFormat="false" ht="15" hidden="false" customHeight="false" outlineLevel="0" collapsed="false">
      <c r="A325" s="41"/>
      <c r="B325" s="42"/>
      <c r="C325" s="42"/>
      <c r="D325" s="42"/>
      <c r="E325" s="42"/>
      <c r="F325" s="42"/>
      <c r="G325" s="42"/>
    </row>
    <row r="326" customFormat="false" ht="15" hidden="false" customHeight="false" outlineLevel="0" collapsed="false">
      <c r="A326" s="41"/>
      <c r="B326" s="42"/>
      <c r="C326" s="42"/>
      <c r="D326" s="42"/>
      <c r="E326" s="42"/>
      <c r="F326" s="42"/>
      <c r="G326" s="42"/>
    </row>
    <row r="327" customFormat="false" ht="15" hidden="false" customHeight="false" outlineLevel="0" collapsed="false">
      <c r="A327" s="41"/>
      <c r="B327" s="42"/>
      <c r="C327" s="42"/>
      <c r="D327" s="42"/>
      <c r="E327" s="42"/>
      <c r="F327" s="42"/>
      <c r="G327" s="42"/>
    </row>
    <row r="328" customFormat="false" ht="15" hidden="false" customHeight="false" outlineLevel="0" collapsed="false">
      <c r="A328" s="41"/>
      <c r="B328" s="42"/>
      <c r="C328" s="42"/>
      <c r="D328" s="42"/>
      <c r="E328" s="42"/>
      <c r="F328" s="42"/>
      <c r="G328" s="42"/>
    </row>
    <row r="329" customFormat="false" ht="15" hidden="false" customHeight="false" outlineLevel="0" collapsed="false">
      <c r="A329" s="41"/>
      <c r="B329" s="42"/>
      <c r="C329" s="42"/>
      <c r="D329" s="42"/>
      <c r="E329" s="42"/>
      <c r="F329" s="42"/>
      <c r="G329" s="42"/>
    </row>
    <row r="330" customFormat="false" ht="15" hidden="false" customHeight="false" outlineLevel="0" collapsed="false">
      <c r="A330" s="41"/>
      <c r="B330" s="42"/>
      <c r="C330" s="42"/>
      <c r="D330" s="42"/>
      <c r="E330" s="42"/>
      <c r="F330" s="42"/>
      <c r="G330" s="42"/>
    </row>
    <row r="331" customFormat="false" ht="15" hidden="false" customHeight="false" outlineLevel="0" collapsed="false">
      <c r="A331" s="41"/>
      <c r="B331" s="42"/>
      <c r="C331" s="42"/>
      <c r="D331" s="42"/>
      <c r="E331" s="42"/>
      <c r="F331" s="42"/>
      <c r="G331" s="42"/>
    </row>
    <row r="332" customFormat="false" ht="15" hidden="false" customHeight="false" outlineLevel="0" collapsed="false">
      <c r="A332" s="41"/>
      <c r="B332" s="42"/>
      <c r="C332" s="42"/>
      <c r="D332" s="42"/>
      <c r="E332" s="42"/>
      <c r="F332" s="42"/>
      <c r="G332" s="42"/>
    </row>
    <row r="333" customFormat="false" ht="15" hidden="false" customHeight="false" outlineLevel="0" collapsed="false">
      <c r="A333" s="41"/>
      <c r="B333" s="42"/>
      <c r="C333" s="42"/>
      <c r="D333" s="42"/>
      <c r="E333" s="42"/>
      <c r="F333" s="42"/>
      <c r="G333" s="42"/>
    </row>
    <row r="334" customFormat="false" ht="15" hidden="false" customHeight="false" outlineLevel="0" collapsed="false">
      <c r="A334" s="41"/>
      <c r="B334" s="42"/>
      <c r="C334" s="42"/>
      <c r="D334" s="42"/>
      <c r="E334" s="42"/>
      <c r="F334" s="42"/>
      <c r="G334" s="42"/>
    </row>
    <row r="335" customFormat="false" ht="15" hidden="false" customHeight="false" outlineLevel="0" collapsed="false">
      <c r="A335" s="41"/>
      <c r="B335" s="42"/>
      <c r="C335" s="42"/>
      <c r="D335" s="42"/>
      <c r="E335" s="42"/>
      <c r="F335" s="42"/>
      <c r="G335" s="42"/>
    </row>
    <row r="336" customFormat="false" ht="15" hidden="false" customHeight="false" outlineLevel="0" collapsed="false">
      <c r="A336" s="41"/>
      <c r="B336" s="42"/>
      <c r="C336" s="42"/>
      <c r="D336" s="42"/>
      <c r="E336" s="42"/>
      <c r="F336" s="42"/>
      <c r="G336" s="42"/>
    </row>
    <row r="337" customFormat="false" ht="15" hidden="false" customHeight="false" outlineLevel="0" collapsed="false">
      <c r="A337" s="41"/>
      <c r="B337" s="42"/>
      <c r="C337" s="42"/>
      <c r="D337" s="42"/>
      <c r="E337" s="42"/>
      <c r="F337" s="42"/>
      <c r="G337" s="42"/>
    </row>
    <row r="338" customFormat="false" ht="15" hidden="false" customHeight="false" outlineLevel="0" collapsed="false">
      <c r="A338" s="41"/>
      <c r="B338" s="42"/>
      <c r="C338" s="42"/>
      <c r="D338" s="42"/>
      <c r="E338" s="42"/>
      <c r="F338" s="42"/>
      <c r="G338" s="42"/>
    </row>
    <row r="339" customFormat="false" ht="15" hidden="false" customHeight="false" outlineLevel="0" collapsed="false">
      <c r="A339" s="41"/>
      <c r="B339" s="42"/>
      <c r="C339" s="42"/>
      <c r="D339" s="42"/>
      <c r="E339" s="42"/>
      <c r="F339" s="42"/>
      <c r="G339" s="42"/>
    </row>
    <row r="340" customFormat="false" ht="15" hidden="false" customHeight="false" outlineLevel="0" collapsed="false">
      <c r="A340" s="41"/>
      <c r="B340" s="42"/>
      <c r="C340" s="42"/>
      <c r="D340" s="42"/>
      <c r="E340" s="42"/>
      <c r="F340" s="42"/>
      <c r="G340" s="42"/>
    </row>
    <row r="341" customFormat="false" ht="15" hidden="false" customHeight="false" outlineLevel="0" collapsed="false">
      <c r="A341" s="41"/>
      <c r="B341" s="42"/>
      <c r="C341" s="42"/>
      <c r="D341" s="42"/>
      <c r="E341" s="42"/>
      <c r="F341" s="42"/>
      <c r="G341" s="42"/>
    </row>
    <row r="342" customFormat="false" ht="15" hidden="false" customHeight="false" outlineLevel="0" collapsed="false">
      <c r="A342" s="41"/>
      <c r="B342" s="42"/>
      <c r="C342" s="42"/>
      <c r="D342" s="42"/>
      <c r="E342" s="42"/>
      <c r="F342" s="42"/>
      <c r="G342" s="42"/>
    </row>
    <row r="343" customFormat="false" ht="15" hidden="false" customHeight="false" outlineLevel="0" collapsed="false">
      <c r="A343" s="41"/>
      <c r="B343" s="42"/>
      <c r="C343" s="42"/>
      <c r="D343" s="42"/>
      <c r="E343" s="42"/>
      <c r="F343" s="42"/>
      <c r="G343" s="42"/>
    </row>
    <row r="344" customFormat="false" ht="15" hidden="false" customHeight="false" outlineLevel="0" collapsed="false">
      <c r="A344" s="41"/>
      <c r="B344" s="42"/>
      <c r="C344" s="42"/>
      <c r="D344" s="42"/>
      <c r="E344" s="42"/>
      <c r="F344" s="42"/>
      <c r="G344" s="42"/>
    </row>
    <row r="345" customFormat="false" ht="15" hidden="false" customHeight="false" outlineLevel="0" collapsed="false">
      <c r="A345" s="41"/>
      <c r="B345" s="42"/>
      <c r="C345" s="42"/>
      <c r="D345" s="42"/>
      <c r="E345" s="42"/>
      <c r="F345" s="42"/>
      <c r="G345" s="42"/>
    </row>
    <row r="346" customFormat="false" ht="15" hidden="false" customHeight="false" outlineLevel="0" collapsed="false">
      <c r="A346" s="41"/>
      <c r="B346" s="42"/>
      <c r="C346" s="42"/>
      <c r="D346" s="42"/>
      <c r="E346" s="42"/>
      <c r="F346" s="42"/>
      <c r="G346" s="42"/>
    </row>
    <row r="347" customFormat="false" ht="15" hidden="false" customHeight="false" outlineLevel="0" collapsed="false">
      <c r="A347" s="41"/>
      <c r="B347" s="42"/>
      <c r="C347" s="42"/>
      <c r="D347" s="42"/>
      <c r="E347" s="42"/>
      <c r="F347" s="42"/>
      <c r="G347" s="42"/>
    </row>
    <row r="348" customFormat="false" ht="15" hidden="false" customHeight="false" outlineLevel="0" collapsed="false">
      <c r="A348" s="41"/>
      <c r="B348" s="42"/>
      <c r="C348" s="42"/>
      <c r="D348" s="42"/>
      <c r="E348" s="42"/>
      <c r="F348" s="42"/>
      <c r="G348" s="42"/>
    </row>
    <row r="349" customFormat="false" ht="15" hidden="false" customHeight="false" outlineLevel="0" collapsed="false">
      <c r="A349" s="41"/>
      <c r="B349" s="42"/>
      <c r="C349" s="42"/>
      <c r="D349" s="42"/>
      <c r="E349" s="42"/>
      <c r="F349" s="42"/>
      <c r="G349" s="42"/>
    </row>
    <row r="350" customFormat="false" ht="15" hidden="false" customHeight="false" outlineLevel="0" collapsed="false">
      <c r="A350" s="41"/>
      <c r="B350" s="42"/>
      <c r="C350" s="42"/>
      <c r="D350" s="42"/>
      <c r="E350" s="42"/>
      <c r="F350" s="42"/>
      <c r="G350" s="42"/>
    </row>
    <row r="351" customFormat="false" ht="15" hidden="false" customHeight="false" outlineLevel="0" collapsed="false">
      <c r="A351" s="41"/>
      <c r="B351" s="42"/>
      <c r="C351" s="42"/>
      <c r="D351" s="42"/>
      <c r="E351" s="42"/>
      <c r="F351" s="42"/>
      <c r="G351" s="42"/>
    </row>
    <row r="352" customFormat="false" ht="15" hidden="false" customHeight="false" outlineLevel="0" collapsed="false">
      <c r="A352" s="41"/>
      <c r="B352" s="42"/>
      <c r="C352" s="42"/>
      <c r="D352" s="42"/>
      <c r="E352" s="42"/>
      <c r="F352" s="42"/>
      <c r="G352" s="42"/>
    </row>
    <row r="353" customFormat="false" ht="15" hidden="false" customHeight="false" outlineLevel="0" collapsed="false">
      <c r="A353" s="41"/>
      <c r="B353" s="42"/>
      <c r="C353" s="42"/>
      <c r="D353" s="42"/>
      <c r="E353" s="42"/>
      <c r="F353" s="42"/>
      <c r="G353" s="42"/>
    </row>
    <row r="354" customFormat="false" ht="15" hidden="false" customHeight="false" outlineLevel="0" collapsed="false">
      <c r="A354" s="41"/>
      <c r="B354" s="42"/>
      <c r="C354" s="42"/>
      <c r="D354" s="42"/>
      <c r="E354" s="42"/>
      <c r="F354" s="42"/>
      <c r="G354" s="42"/>
    </row>
    <row r="355" customFormat="false" ht="15" hidden="false" customHeight="false" outlineLevel="0" collapsed="false">
      <c r="A355" s="41"/>
      <c r="B355" s="42"/>
      <c r="C355" s="42"/>
      <c r="D355" s="42"/>
      <c r="E355" s="42"/>
      <c r="F355" s="42"/>
      <c r="G355" s="42"/>
    </row>
    <row r="356" customFormat="false" ht="15" hidden="false" customHeight="false" outlineLevel="0" collapsed="false">
      <c r="A356" s="41"/>
      <c r="B356" s="42"/>
      <c r="C356" s="42"/>
      <c r="D356" s="42"/>
      <c r="E356" s="42"/>
      <c r="F356" s="42"/>
      <c r="G356" s="42"/>
    </row>
    <row r="357" customFormat="false" ht="15" hidden="false" customHeight="false" outlineLevel="0" collapsed="false">
      <c r="A357" s="41"/>
      <c r="B357" s="42"/>
      <c r="C357" s="42"/>
      <c r="D357" s="42"/>
      <c r="E357" s="42"/>
      <c r="F357" s="42"/>
      <c r="G357" s="42"/>
    </row>
    <row r="358" customFormat="false" ht="15" hidden="false" customHeight="false" outlineLevel="0" collapsed="false">
      <c r="A358" s="41"/>
      <c r="B358" s="42"/>
      <c r="C358" s="42"/>
      <c r="D358" s="42"/>
      <c r="E358" s="42"/>
      <c r="F358" s="42"/>
      <c r="G358" s="42"/>
    </row>
    <row r="359" customFormat="false" ht="15" hidden="false" customHeight="false" outlineLevel="0" collapsed="false">
      <c r="A359" s="41"/>
      <c r="B359" s="42"/>
      <c r="C359" s="42"/>
      <c r="D359" s="42"/>
      <c r="E359" s="42"/>
      <c r="F359" s="42"/>
      <c r="G359" s="42"/>
    </row>
    <row r="360" customFormat="false" ht="15" hidden="false" customHeight="false" outlineLevel="0" collapsed="false">
      <c r="A360" s="41"/>
      <c r="B360" s="42"/>
      <c r="C360" s="42"/>
      <c r="D360" s="42"/>
      <c r="E360" s="42"/>
      <c r="F360" s="42"/>
      <c r="G360" s="42"/>
    </row>
    <row r="361" customFormat="false" ht="15" hidden="false" customHeight="false" outlineLevel="0" collapsed="false">
      <c r="A361" s="41"/>
      <c r="B361" s="42"/>
      <c r="C361" s="42"/>
      <c r="D361" s="42"/>
      <c r="E361" s="42"/>
      <c r="F361" s="42"/>
      <c r="G361" s="42"/>
    </row>
    <row r="362" customFormat="false" ht="15" hidden="false" customHeight="false" outlineLevel="0" collapsed="false">
      <c r="A362" s="41"/>
      <c r="B362" s="42"/>
      <c r="C362" s="42"/>
      <c r="D362" s="42"/>
      <c r="E362" s="42"/>
      <c r="F362" s="42"/>
      <c r="G362" s="42"/>
    </row>
    <row r="363" customFormat="false" ht="15" hidden="false" customHeight="false" outlineLevel="0" collapsed="false">
      <c r="A363" s="41"/>
      <c r="B363" s="42"/>
      <c r="C363" s="42"/>
      <c r="D363" s="42"/>
      <c r="E363" s="42"/>
      <c r="F363" s="42"/>
      <c r="G363" s="42"/>
    </row>
    <row r="364" customFormat="false" ht="15" hidden="false" customHeight="false" outlineLevel="0" collapsed="false">
      <c r="A364" s="41"/>
      <c r="B364" s="42"/>
      <c r="C364" s="42"/>
      <c r="D364" s="42"/>
      <c r="E364" s="42"/>
      <c r="F364" s="42"/>
      <c r="G364" s="42"/>
    </row>
    <row r="365" customFormat="false" ht="15" hidden="false" customHeight="false" outlineLevel="0" collapsed="false">
      <c r="A365" s="41"/>
      <c r="B365" s="42"/>
      <c r="C365" s="42"/>
      <c r="D365" s="42"/>
      <c r="E365" s="42"/>
      <c r="F365" s="42"/>
      <c r="G365" s="42"/>
    </row>
    <row r="366" customFormat="false" ht="15" hidden="false" customHeight="false" outlineLevel="0" collapsed="false">
      <c r="A366" s="41"/>
      <c r="B366" s="42"/>
      <c r="C366" s="42"/>
      <c r="D366" s="42"/>
      <c r="E366" s="42"/>
      <c r="F366" s="42"/>
      <c r="G366" s="42"/>
    </row>
    <row r="367" customFormat="false" ht="15" hidden="false" customHeight="false" outlineLevel="0" collapsed="false">
      <c r="A367" s="41"/>
      <c r="B367" s="42"/>
      <c r="C367" s="42"/>
      <c r="D367" s="42"/>
      <c r="E367" s="42"/>
      <c r="F367" s="42"/>
      <c r="G367" s="42"/>
    </row>
    <row r="368" customFormat="false" ht="15" hidden="false" customHeight="false" outlineLevel="0" collapsed="false">
      <c r="A368" s="41"/>
      <c r="B368" s="42"/>
      <c r="C368" s="42"/>
      <c r="D368" s="42"/>
      <c r="E368" s="42"/>
      <c r="F368" s="42"/>
      <c r="G368" s="42"/>
    </row>
    <row r="369" customFormat="false" ht="15" hidden="false" customHeight="false" outlineLevel="0" collapsed="false">
      <c r="A369" s="41"/>
      <c r="B369" s="42"/>
      <c r="C369" s="42"/>
      <c r="D369" s="42"/>
      <c r="E369" s="42"/>
      <c r="F369" s="42"/>
      <c r="G369" s="42"/>
    </row>
    <row r="370" customFormat="false" ht="15" hidden="false" customHeight="false" outlineLevel="0" collapsed="false">
      <c r="A370" s="41"/>
      <c r="B370" s="42"/>
      <c r="C370" s="42"/>
      <c r="D370" s="42"/>
      <c r="E370" s="42"/>
      <c r="F370" s="42"/>
      <c r="G370" s="42"/>
    </row>
    <row r="371" customFormat="false" ht="15" hidden="false" customHeight="false" outlineLevel="0" collapsed="false">
      <c r="A371" s="41"/>
      <c r="B371" s="42"/>
      <c r="C371" s="42"/>
      <c r="D371" s="42"/>
      <c r="E371" s="42"/>
      <c r="F371" s="42"/>
      <c r="G371" s="42"/>
    </row>
    <row r="372" customFormat="false" ht="15" hidden="false" customHeight="false" outlineLevel="0" collapsed="false">
      <c r="A372" s="41"/>
      <c r="B372" s="42"/>
      <c r="C372" s="42"/>
      <c r="D372" s="42"/>
      <c r="E372" s="42"/>
      <c r="F372" s="42"/>
      <c r="G372" s="42"/>
    </row>
    <row r="373" customFormat="false" ht="15" hidden="false" customHeight="false" outlineLevel="0" collapsed="false">
      <c r="A373" s="41"/>
      <c r="B373" s="42"/>
      <c r="C373" s="42"/>
      <c r="D373" s="42"/>
      <c r="E373" s="42"/>
      <c r="F373" s="42"/>
      <c r="G373" s="42"/>
    </row>
    <row r="374" customFormat="false" ht="15" hidden="false" customHeight="false" outlineLevel="0" collapsed="false">
      <c r="A374" s="41"/>
      <c r="B374" s="42"/>
      <c r="C374" s="42"/>
      <c r="D374" s="42"/>
      <c r="E374" s="42"/>
      <c r="F374" s="42"/>
      <c r="G374" s="42"/>
    </row>
    <row r="375" customFormat="false" ht="15" hidden="false" customHeight="false" outlineLevel="0" collapsed="false">
      <c r="A375" s="41"/>
      <c r="B375" s="42"/>
      <c r="C375" s="42"/>
      <c r="D375" s="42"/>
      <c r="E375" s="42"/>
      <c r="F375" s="42"/>
      <c r="G375" s="42"/>
    </row>
    <row r="376" customFormat="false" ht="15" hidden="false" customHeight="false" outlineLevel="0" collapsed="false">
      <c r="A376" s="41"/>
      <c r="B376" s="42"/>
      <c r="C376" s="42"/>
      <c r="D376" s="42"/>
      <c r="E376" s="42"/>
      <c r="F376" s="42"/>
      <c r="G376" s="42"/>
    </row>
    <row r="377" customFormat="false" ht="15" hidden="false" customHeight="false" outlineLevel="0" collapsed="false">
      <c r="A377" s="41"/>
      <c r="B377" s="42"/>
      <c r="C377" s="42"/>
      <c r="D377" s="42"/>
      <c r="E377" s="42"/>
      <c r="F377" s="42"/>
      <c r="G377" s="42"/>
    </row>
    <row r="378" customFormat="false" ht="15" hidden="false" customHeight="false" outlineLevel="0" collapsed="false">
      <c r="A378" s="41"/>
      <c r="B378" s="42"/>
      <c r="C378" s="42"/>
      <c r="D378" s="42"/>
      <c r="E378" s="42"/>
      <c r="F378" s="42"/>
      <c r="G378" s="42"/>
    </row>
    <row r="379" customFormat="false" ht="15" hidden="false" customHeight="false" outlineLevel="0" collapsed="false">
      <c r="A379" s="41"/>
      <c r="B379" s="42"/>
      <c r="C379" s="42"/>
      <c r="D379" s="42"/>
      <c r="E379" s="42"/>
      <c r="F379" s="42"/>
      <c r="G379" s="42"/>
    </row>
    <row r="380" customFormat="false" ht="15" hidden="false" customHeight="false" outlineLevel="0" collapsed="false">
      <c r="A380" s="41"/>
      <c r="B380" s="42"/>
      <c r="C380" s="42"/>
      <c r="D380" s="42"/>
      <c r="E380" s="42"/>
      <c r="F380" s="42"/>
      <c r="G380" s="42"/>
    </row>
    <row r="381" customFormat="false" ht="15" hidden="false" customHeight="false" outlineLevel="0" collapsed="false">
      <c r="A381" s="41"/>
      <c r="B381" s="42"/>
      <c r="C381" s="42"/>
      <c r="D381" s="42"/>
      <c r="E381" s="42"/>
      <c r="F381" s="42"/>
      <c r="G381" s="42"/>
    </row>
    <row r="382" customFormat="false" ht="15" hidden="false" customHeight="false" outlineLevel="0" collapsed="false">
      <c r="A382" s="41"/>
      <c r="B382" s="42"/>
      <c r="C382" s="42"/>
      <c r="D382" s="42"/>
      <c r="E382" s="42"/>
      <c r="F382" s="42"/>
      <c r="G382" s="42"/>
    </row>
    <row r="383" customFormat="false" ht="15" hidden="false" customHeight="false" outlineLevel="0" collapsed="false">
      <c r="A383" s="41"/>
      <c r="B383" s="42"/>
      <c r="C383" s="42"/>
      <c r="D383" s="42"/>
      <c r="E383" s="42"/>
      <c r="F383" s="42"/>
      <c r="G383" s="42"/>
    </row>
    <row r="384" customFormat="false" ht="15" hidden="false" customHeight="false" outlineLevel="0" collapsed="false">
      <c r="A384" s="41"/>
      <c r="B384" s="42"/>
      <c r="C384" s="42"/>
      <c r="D384" s="42"/>
      <c r="E384" s="42"/>
      <c r="F384" s="42"/>
      <c r="G384" s="42"/>
    </row>
    <row r="385" customFormat="false" ht="15" hidden="false" customHeight="false" outlineLevel="0" collapsed="false">
      <c r="A385" s="41"/>
      <c r="B385" s="42"/>
      <c r="C385" s="42"/>
      <c r="D385" s="42"/>
      <c r="E385" s="42"/>
      <c r="F385" s="42"/>
      <c r="G385" s="42"/>
    </row>
    <row r="386" customFormat="false" ht="15" hidden="false" customHeight="false" outlineLevel="0" collapsed="false">
      <c r="A386" s="41"/>
      <c r="B386" s="42"/>
      <c r="C386" s="42"/>
      <c r="D386" s="42"/>
      <c r="E386" s="42"/>
      <c r="F386" s="42"/>
      <c r="G386" s="42"/>
    </row>
    <row r="387" customFormat="false" ht="15" hidden="false" customHeight="false" outlineLevel="0" collapsed="false">
      <c r="A387" s="41"/>
      <c r="B387" s="42"/>
      <c r="C387" s="42"/>
      <c r="D387" s="42"/>
      <c r="E387" s="42"/>
      <c r="F387" s="42"/>
      <c r="G387" s="42"/>
    </row>
    <row r="388" customFormat="false" ht="15" hidden="false" customHeight="false" outlineLevel="0" collapsed="false">
      <c r="A388" s="41"/>
      <c r="B388" s="42"/>
      <c r="C388" s="42"/>
      <c r="D388" s="42"/>
      <c r="E388" s="42"/>
      <c r="F388" s="42"/>
      <c r="G388" s="42"/>
    </row>
    <row r="389" customFormat="false" ht="15" hidden="false" customHeight="false" outlineLevel="0" collapsed="false">
      <c r="A389" s="41"/>
      <c r="B389" s="42"/>
      <c r="C389" s="42"/>
      <c r="D389" s="42"/>
      <c r="E389" s="42"/>
      <c r="F389" s="42"/>
      <c r="G389" s="42"/>
    </row>
    <row r="390" customFormat="false" ht="15" hidden="false" customHeight="false" outlineLevel="0" collapsed="false">
      <c r="A390" s="41"/>
      <c r="B390" s="42"/>
      <c r="C390" s="42"/>
      <c r="D390" s="42"/>
      <c r="E390" s="42"/>
      <c r="F390" s="42"/>
      <c r="G390" s="42"/>
    </row>
    <row r="391" customFormat="false" ht="15" hidden="false" customHeight="false" outlineLevel="0" collapsed="false">
      <c r="A391" s="41"/>
      <c r="B391" s="42"/>
      <c r="C391" s="42"/>
      <c r="D391" s="42"/>
      <c r="E391" s="42"/>
      <c r="F391" s="42"/>
      <c r="G391" s="42"/>
    </row>
    <row r="392" customFormat="false" ht="15" hidden="false" customHeight="false" outlineLevel="0" collapsed="false">
      <c r="A392" s="41"/>
      <c r="B392" s="42"/>
      <c r="C392" s="42"/>
      <c r="D392" s="42"/>
      <c r="E392" s="42"/>
      <c r="F392" s="42"/>
      <c r="G392" s="42"/>
    </row>
    <row r="393" customFormat="false" ht="15" hidden="false" customHeight="false" outlineLevel="0" collapsed="false">
      <c r="A393" s="41"/>
      <c r="B393" s="42"/>
      <c r="C393" s="42"/>
      <c r="D393" s="42"/>
      <c r="E393" s="42"/>
      <c r="F393" s="42"/>
      <c r="G393" s="42"/>
    </row>
    <row r="394" customFormat="false" ht="15" hidden="false" customHeight="false" outlineLevel="0" collapsed="false">
      <c r="A394" s="41"/>
      <c r="B394" s="42"/>
      <c r="C394" s="42"/>
      <c r="D394" s="42"/>
      <c r="E394" s="42"/>
      <c r="F394" s="42"/>
      <c r="G394" s="42"/>
    </row>
    <row r="395" customFormat="false" ht="15" hidden="false" customHeight="false" outlineLevel="0" collapsed="false">
      <c r="A395" s="41"/>
      <c r="B395" s="42"/>
      <c r="C395" s="42"/>
      <c r="D395" s="42"/>
      <c r="E395" s="42"/>
      <c r="F395" s="42"/>
      <c r="G395" s="42"/>
    </row>
    <row r="396" customFormat="false" ht="15" hidden="false" customHeight="false" outlineLevel="0" collapsed="false">
      <c r="A396" s="41"/>
      <c r="B396" s="42"/>
      <c r="C396" s="42"/>
      <c r="D396" s="42"/>
      <c r="E396" s="42"/>
      <c r="F396" s="42"/>
      <c r="G396" s="42"/>
    </row>
    <row r="397" customFormat="false" ht="15" hidden="false" customHeight="false" outlineLevel="0" collapsed="false">
      <c r="A397" s="41"/>
      <c r="B397" s="42"/>
      <c r="C397" s="42"/>
      <c r="D397" s="42"/>
      <c r="E397" s="42"/>
      <c r="F397" s="42"/>
      <c r="G397" s="42"/>
    </row>
    <row r="398" customFormat="false" ht="15" hidden="false" customHeight="false" outlineLevel="0" collapsed="false">
      <c r="A398" s="41"/>
      <c r="B398" s="42"/>
      <c r="C398" s="42"/>
      <c r="D398" s="42"/>
      <c r="E398" s="42"/>
      <c r="F398" s="42"/>
      <c r="G398" s="42"/>
    </row>
    <row r="399" customFormat="false" ht="15" hidden="false" customHeight="false" outlineLevel="0" collapsed="false">
      <c r="A399" s="41"/>
      <c r="B399" s="42"/>
      <c r="C399" s="42"/>
      <c r="D399" s="42"/>
      <c r="E399" s="42"/>
      <c r="F399" s="42"/>
      <c r="G399" s="42"/>
    </row>
    <row r="400" customFormat="false" ht="15" hidden="false" customHeight="false" outlineLevel="0" collapsed="false">
      <c r="A400" s="41"/>
      <c r="B400" s="42"/>
      <c r="C400" s="42"/>
      <c r="D400" s="42"/>
      <c r="E400" s="42"/>
      <c r="F400" s="42"/>
      <c r="G400" s="42"/>
    </row>
    <row r="401" customFormat="false" ht="15" hidden="false" customHeight="false" outlineLevel="0" collapsed="false">
      <c r="A401" s="41"/>
      <c r="B401" s="42"/>
      <c r="C401" s="42"/>
      <c r="D401" s="42"/>
      <c r="E401" s="42"/>
      <c r="F401" s="42"/>
      <c r="G401" s="42"/>
    </row>
    <row r="402" customFormat="false" ht="15" hidden="false" customHeight="false" outlineLevel="0" collapsed="false">
      <c r="A402" s="41"/>
      <c r="B402" s="42"/>
      <c r="C402" s="42"/>
      <c r="D402" s="42"/>
      <c r="E402" s="42"/>
      <c r="F402" s="42"/>
      <c r="G402" s="42"/>
    </row>
    <row r="403" customFormat="false" ht="15" hidden="false" customHeight="false" outlineLevel="0" collapsed="false">
      <c r="A403" s="41"/>
      <c r="B403" s="42"/>
      <c r="C403" s="42"/>
      <c r="D403" s="42"/>
      <c r="E403" s="42"/>
      <c r="F403" s="42"/>
      <c r="G403" s="42"/>
    </row>
    <row r="404" customFormat="false" ht="15" hidden="false" customHeight="false" outlineLevel="0" collapsed="false">
      <c r="A404" s="41"/>
      <c r="B404" s="42"/>
      <c r="C404" s="42"/>
      <c r="D404" s="42"/>
      <c r="E404" s="42"/>
      <c r="F404" s="42"/>
      <c r="G404" s="42"/>
    </row>
    <row r="405" customFormat="false" ht="15" hidden="false" customHeight="false" outlineLevel="0" collapsed="false">
      <c r="A405" s="41"/>
      <c r="B405" s="42"/>
      <c r="C405" s="42"/>
      <c r="D405" s="42"/>
      <c r="E405" s="42"/>
      <c r="F405" s="42"/>
      <c r="G405" s="42"/>
    </row>
    <row r="406" customFormat="false" ht="15" hidden="false" customHeight="false" outlineLevel="0" collapsed="false">
      <c r="A406" s="41"/>
      <c r="B406" s="42"/>
      <c r="C406" s="42"/>
      <c r="D406" s="42"/>
      <c r="E406" s="42"/>
      <c r="F406" s="42"/>
      <c r="G406" s="42"/>
    </row>
    <row r="407" customFormat="false" ht="15" hidden="false" customHeight="false" outlineLevel="0" collapsed="false">
      <c r="A407" s="41"/>
      <c r="B407" s="42"/>
      <c r="C407" s="42"/>
      <c r="D407" s="42"/>
      <c r="E407" s="42"/>
      <c r="F407" s="42"/>
      <c r="G407" s="42"/>
    </row>
    <row r="408" customFormat="false" ht="15" hidden="false" customHeight="false" outlineLevel="0" collapsed="false">
      <c r="A408" s="41"/>
      <c r="B408" s="42"/>
      <c r="C408" s="42"/>
      <c r="D408" s="42"/>
      <c r="E408" s="42"/>
      <c r="F408" s="42"/>
      <c r="G408" s="42"/>
    </row>
    <row r="409" customFormat="false" ht="15" hidden="false" customHeight="false" outlineLevel="0" collapsed="false">
      <c r="A409" s="41"/>
      <c r="B409" s="42"/>
      <c r="C409" s="42"/>
      <c r="D409" s="42"/>
      <c r="E409" s="42"/>
      <c r="F409" s="42"/>
      <c r="G409" s="42"/>
    </row>
    <row r="410" customFormat="false" ht="15" hidden="false" customHeight="false" outlineLevel="0" collapsed="false">
      <c r="A410" s="41"/>
      <c r="B410" s="42"/>
      <c r="C410" s="42"/>
      <c r="D410" s="42"/>
      <c r="E410" s="42"/>
      <c r="F410" s="42"/>
      <c r="G410" s="42"/>
    </row>
    <row r="411" customFormat="false" ht="15" hidden="false" customHeight="false" outlineLevel="0" collapsed="false">
      <c r="A411" s="41"/>
      <c r="B411" s="42"/>
      <c r="C411" s="42"/>
      <c r="D411" s="42"/>
      <c r="E411" s="42"/>
      <c r="F411" s="42"/>
      <c r="G411" s="42"/>
    </row>
    <row r="412" customFormat="false" ht="15" hidden="false" customHeight="false" outlineLevel="0" collapsed="false">
      <c r="A412" s="41"/>
      <c r="B412" s="42"/>
      <c r="C412" s="42"/>
      <c r="D412" s="42"/>
      <c r="E412" s="42"/>
      <c r="F412" s="42"/>
      <c r="G412" s="42"/>
    </row>
    <row r="413" customFormat="false" ht="15" hidden="false" customHeight="false" outlineLevel="0" collapsed="false">
      <c r="A413" s="41"/>
      <c r="B413" s="42"/>
      <c r="C413" s="42"/>
      <c r="D413" s="42"/>
      <c r="E413" s="42"/>
      <c r="F413" s="42"/>
      <c r="G413" s="42"/>
    </row>
    <row r="414" customFormat="false" ht="15" hidden="false" customHeight="false" outlineLevel="0" collapsed="false">
      <c r="A414" s="41"/>
      <c r="B414" s="42"/>
      <c r="C414" s="42"/>
      <c r="D414" s="42"/>
      <c r="E414" s="42"/>
      <c r="F414" s="42"/>
      <c r="G414" s="42"/>
    </row>
    <row r="415" customFormat="false" ht="15" hidden="false" customHeight="false" outlineLevel="0" collapsed="false">
      <c r="A415" s="41"/>
      <c r="B415" s="42"/>
      <c r="C415" s="42"/>
      <c r="D415" s="42"/>
      <c r="E415" s="42"/>
      <c r="F415" s="42"/>
      <c r="G415" s="42"/>
    </row>
    <row r="416" customFormat="false" ht="15" hidden="false" customHeight="false" outlineLevel="0" collapsed="false">
      <c r="A416" s="41"/>
      <c r="B416" s="42"/>
      <c r="C416" s="42"/>
      <c r="D416" s="42"/>
      <c r="E416" s="42"/>
      <c r="F416" s="42"/>
      <c r="G416" s="42"/>
    </row>
    <row r="417" customFormat="false" ht="15" hidden="false" customHeight="false" outlineLevel="0" collapsed="false">
      <c r="A417" s="41"/>
      <c r="B417" s="42"/>
      <c r="C417" s="42"/>
      <c r="D417" s="42"/>
      <c r="E417" s="42"/>
      <c r="F417" s="42"/>
      <c r="G417" s="42"/>
    </row>
    <row r="418" customFormat="false" ht="15" hidden="false" customHeight="false" outlineLevel="0" collapsed="false">
      <c r="A418" s="41"/>
      <c r="B418" s="42"/>
      <c r="C418" s="42"/>
      <c r="D418" s="42"/>
      <c r="E418" s="42"/>
      <c r="F418" s="42"/>
      <c r="G418" s="42"/>
    </row>
    <row r="419" customFormat="false" ht="15" hidden="false" customHeight="false" outlineLevel="0" collapsed="false">
      <c r="A419" s="41"/>
      <c r="B419" s="42"/>
      <c r="C419" s="42"/>
      <c r="D419" s="42"/>
      <c r="E419" s="42"/>
      <c r="F419" s="42"/>
      <c r="G419" s="42"/>
    </row>
    <row r="420" customFormat="false" ht="15" hidden="false" customHeight="false" outlineLevel="0" collapsed="false">
      <c r="A420" s="41"/>
      <c r="B420" s="42"/>
      <c r="C420" s="42"/>
      <c r="D420" s="42"/>
      <c r="E420" s="42"/>
      <c r="F420" s="42"/>
      <c r="G420" s="42"/>
    </row>
    <row r="421" customFormat="false" ht="15" hidden="false" customHeight="false" outlineLevel="0" collapsed="false">
      <c r="A421" s="41"/>
      <c r="B421" s="42"/>
      <c r="C421" s="42"/>
      <c r="D421" s="42"/>
      <c r="E421" s="42"/>
      <c r="F421" s="42"/>
      <c r="G421" s="42"/>
    </row>
    <row r="422" customFormat="false" ht="15" hidden="false" customHeight="false" outlineLevel="0" collapsed="false">
      <c r="A422" s="41"/>
      <c r="B422" s="42"/>
      <c r="C422" s="42"/>
      <c r="D422" s="42"/>
      <c r="E422" s="42"/>
      <c r="F422" s="42"/>
      <c r="G422" s="42"/>
    </row>
    <row r="423" customFormat="false" ht="15" hidden="false" customHeight="false" outlineLevel="0" collapsed="false">
      <c r="A423" s="41"/>
      <c r="B423" s="42"/>
      <c r="C423" s="42"/>
      <c r="D423" s="42"/>
      <c r="E423" s="42"/>
      <c r="F423" s="42"/>
      <c r="G423" s="42"/>
    </row>
    <row r="424" customFormat="false" ht="15" hidden="false" customHeight="false" outlineLevel="0" collapsed="false">
      <c r="A424" s="41"/>
      <c r="B424" s="42"/>
      <c r="C424" s="42"/>
      <c r="D424" s="42"/>
      <c r="E424" s="42"/>
      <c r="F424" s="42"/>
      <c r="G424" s="42"/>
    </row>
    <row r="425" customFormat="false" ht="15" hidden="false" customHeight="false" outlineLevel="0" collapsed="false">
      <c r="A425" s="41"/>
      <c r="B425" s="42"/>
      <c r="C425" s="42"/>
      <c r="D425" s="42"/>
      <c r="E425" s="42"/>
      <c r="F425" s="42"/>
      <c r="G425" s="42"/>
    </row>
    <row r="426" customFormat="false" ht="15" hidden="false" customHeight="false" outlineLevel="0" collapsed="false">
      <c r="A426" s="41"/>
      <c r="B426" s="42"/>
      <c r="C426" s="42"/>
      <c r="D426" s="42"/>
      <c r="E426" s="42"/>
      <c r="F426" s="42"/>
      <c r="G426" s="42"/>
    </row>
    <row r="427" customFormat="false" ht="15" hidden="false" customHeight="false" outlineLevel="0" collapsed="false">
      <c r="A427" s="41"/>
      <c r="B427" s="42"/>
      <c r="C427" s="42"/>
      <c r="D427" s="42"/>
      <c r="E427" s="42"/>
      <c r="F427" s="42"/>
      <c r="G427" s="42"/>
    </row>
    <row r="428" customFormat="false" ht="15" hidden="false" customHeight="false" outlineLevel="0" collapsed="false">
      <c r="A428" s="41"/>
      <c r="B428" s="42"/>
      <c r="C428" s="42"/>
      <c r="D428" s="42"/>
      <c r="E428" s="42"/>
      <c r="F428" s="42"/>
      <c r="G428" s="42"/>
    </row>
    <row r="429" customFormat="false" ht="15" hidden="false" customHeight="false" outlineLevel="0" collapsed="false">
      <c r="A429" s="41"/>
      <c r="B429" s="42"/>
      <c r="C429" s="42"/>
      <c r="D429" s="42"/>
      <c r="E429" s="42"/>
      <c r="F429" s="42"/>
      <c r="G429" s="42"/>
    </row>
    <row r="430" customFormat="false" ht="15" hidden="false" customHeight="false" outlineLevel="0" collapsed="false">
      <c r="A430" s="41"/>
      <c r="B430" s="42"/>
      <c r="C430" s="42"/>
      <c r="D430" s="42"/>
      <c r="E430" s="42"/>
      <c r="F430" s="42"/>
      <c r="G430" s="42"/>
    </row>
    <row r="431" customFormat="false" ht="15" hidden="false" customHeight="false" outlineLevel="0" collapsed="false">
      <c r="A431" s="41"/>
      <c r="B431" s="42"/>
      <c r="C431" s="42"/>
      <c r="D431" s="42"/>
      <c r="E431" s="42"/>
      <c r="F431" s="42"/>
      <c r="G431" s="42"/>
    </row>
    <row r="432" customFormat="false" ht="15" hidden="false" customHeight="false" outlineLevel="0" collapsed="false">
      <c r="A432" s="41"/>
      <c r="B432" s="42"/>
      <c r="C432" s="42"/>
      <c r="D432" s="42"/>
      <c r="E432" s="42"/>
      <c r="F432" s="42"/>
      <c r="G432" s="42"/>
    </row>
    <row r="433" customFormat="false" ht="15" hidden="false" customHeight="false" outlineLevel="0" collapsed="false">
      <c r="A433" s="41"/>
      <c r="B433" s="42"/>
      <c r="C433" s="42"/>
      <c r="D433" s="42"/>
      <c r="E433" s="42"/>
      <c r="F433" s="42"/>
      <c r="G433" s="42"/>
    </row>
    <row r="434" customFormat="false" ht="15" hidden="false" customHeight="false" outlineLevel="0" collapsed="false">
      <c r="A434" s="41"/>
      <c r="B434" s="42"/>
      <c r="C434" s="42"/>
      <c r="D434" s="42"/>
      <c r="E434" s="42"/>
      <c r="F434" s="42"/>
      <c r="G434" s="42"/>
    </row>
    <row r="435" customFormat="false" ht="15" hidden="false" customHeight="false" outlineLevel="0" collapsed="false">
      <c r="A435" s="41"/>
      <c r="B435" s="42"/>
      <c r="C435" s="42"/>
      <c r="D435" s="42"/>
      <c r="E435" s="42"/>
      <c r="F435" s="42"/>
      <c r="G435" s="42"/>
    </row>
    <row r="436" customFormat="false" ht="15" hidden="false" customHeight="false" outlineLevel="0" collapsed="false">
      <c r="A436" s="41"/>
      <c r="B436" s="42"/>
      <c r="C436" s="42"/>
      <c r="D436" s="42"/>
      <c r="E436" s="42"/>
      <c r="F436" s="42"/>
      <c r="G436" s="42"/>
    </row>
    <row r="437" customFormat="false" ht="15" hidden="false" customHeight="false" outlineLevel="0" collapsed="false">
      <c r="A437" s="41"/>
      <c r="B437" s="42"/>
      <c r="C437" s="42"/>
      <c r="D437" s="42"/>
      <c r="E437" s="42"/>
      <c r="F437" s="42"/>
      <c r="G437" s="42"/>
    </row>
    <row r="438" customFormat="false" ht="15" hidden="false" customHeight="false" outlineLevel="0" collapsed="false">
      <c r="A438" s="41"/>
      <c r="B438" s="42"/>
      <c r="C438" s="42"/>
      <c r="D438" s="42"/>
      <c r="E438" s="42"/>
      <c r="F438" s="42"/>
      <c r="G438" s="42"/>
    </row>
    <row r="439" customFormat="false" ht="15" hidden="false" customHeight="false" outlineLevel="0" collapsed="false">
      <c r="A439" s="41"/>
      <c r="B439" s="42"/>
      <c r="C439" s="42"/>
      <c r="D439" s="42"/>
      <c r="E439" s="42"/>
      <c r="F439" s="42"/>
      <c r="G439" s="42"/>
    </row>
    <row r="440" customFormat="false" ht="15" hidden="false" customHeight="false" outlineLevel="0" collapsed="false">
      <c r="A440" s="41"/>
      <c r="B440" s="42"/>
      <c r="C440" s="42"/>
      <c r="D440" s="42"/>
      <c r="E440" s="42"/>
      <c r="F440" s="42"/>
      <c r="G440" s="42"/>
    </row>
    <row r="441" customFormat="false" ht="15" hidden="false" customHeight="false" outlineLevel="0" collapsed="false">
      <c r="A441" s="41"/>
      <c r="B441" s="42"/>
      <c r="C441" s="42"/>
      <c r="D441" s="42"/>
      <c r="E441" s="42"/>
      <c r="F441" s="42"/>
      <c r="G441" s="42"/>
    </row>
    <row r="442" customFormat="false" ht="15" hidden="false" customHeight="false" outlineLevel="0" collapsed="false">
      <c r="A442" s="41"/>
      <c r="B442" s="42"/>
      <c r="C442" s="42"/>
      <c r="D442" s="42"/>
      <c r="E442" s="42"/>
      <c r="F442" s="42"/>
      <c r="G442" s="42"/>
    </row>
    <row r="443" customFormat="false" ht="15" hidden="false" customHeight="false" outlineLevel="0" collapsed="false">
      <c r="A443" s="41"/>
      <c r="B443" s="42"/>
      <c r="C443" s="42"/>
      <c r="D443" s="42"/>
      <c r="E443" s="42"/>
      <c r="F443" s="42"/>
      <c r="G443" s="42"/>
    </row>
    <row r="444" customFormat="false" ht="15" hidden="false" customHeight="false" outlineLevel="0" collapsed="false">
      <c r="A444" s="41"/>
      <c r="B444" s="42"/>
      <c r="C444" s="42"/>
      <c r="D444" s="42"/>
      <c r="E444" s="42"/>
      <c r="F444" s="42"/>
      <c r="G444" s="42"/>
    </row>
    <row r="445" customFormat="false" ht="15" hidden="false" customHeight="false" outlineLevel="0" collapsed="false">
      <c r="A445" s="41"/>
      <c r="B445" s="42"/>
      <c r="C445" s="42"/>
      <c r="D445" s="42"/>
      <c r="E445" s="42"/>
      <c r="F445" s="42"/>
      <c r="G445" s="42"/>
    </row>
    <row r="446" customFormat="false" ht="15" hidden="false" customHeight="false" outlineLevel="0" collapsed="false">
      <c r="A446" s="41"/>
      <c r="B446" s="42"/>
      <c r="C446" s="42"/>
      <c r="D446" s="42"/>
      <c r="E446" s="42"/>
      <c r="F446" s="42"/>
      <c r="G446" s="42"/>
    </row>
    <row r="447" customFormat="false" ht="15" hidden="false" customHeight="false" outlineLevel="0" collapsed="false">
      <c r="A447" s="41"/>
      <c r="B447" s="42"/>
      <c r="C447" s="42"/>
      <c r="D447" s="42"/>
      <c r="E447" s="42"/>
      <c r="F447" s="42"/>
      <c r="G447" s="42"/>
    </row>
    <row r="448" customFormat="false" ht="15" hidden="false" customHeight="false" outlineLevel="0" collapsed="false">
      <c r="A448" s="41"/>
      <c r="B448" s="42"/>
      <c r="C448" s="42"/>
      <c r="D448" s="42"/>
      <c r="E448" s="42"/>
      <c r="F448" s="42"/>
      <c r="G448" s="42"/>
    </row>
    <row r="449" customFormat="false" ht="15" hidden="false" customHeight="false" outlineLevel="0" collapsed="false">
      <c r="A449" s="41"/>
      <c r="B449" s="42"/>
      <c r="C449" s="42"/>
      <c r="D449" s="42"/>
      <c r="E449" s="42"/>
      <c r="F449" s="42"/>
      <c r="G449" s="42"/>
    </row>
    <row r="450" customFormat="false" ht="15" hidden="false" customHeight="false" outlineLevel="0" collapsed="false">
      <c r="A450" s="41"/>
      <c r="B450" s="42"/>
      <c r="C450" s="42"/>
      <c r="D450" s="42"/>
      <c r="E450" s="42"/>
      <c r="F450" s="42"/>
      <c r="G450" s="42"/>
    </row>
    <row r="451" customFormat="false" ht="15" hidden="false" customHeight="false" outlineLevel="0" collapsed="false">
      <c r="A451" s="41"/>
      <c r="B451" s="42"/>
      <c r="C451" s="42"/>
      <c r="D451" s="42"/>
      <c r="E451" s="42"/>
      <c r="F451" s="42"/>
      <c r="G451" s="42"/>
    </row>
    <row r="452" customFormat="false" ht="15" hidden="false" customHeight="false" outlineLevel="0" collapsed="false">
      <c r="A452" s="41"/>
      <c r="B452" s="42"/>
      <c r="C452" s="42"/>
      <c r="D452" s="42"/>
      <c r="E452" s="42"/>
      <c r="F452" s="42"/>
      <c r="G452" s="42"/>
    </row>
    <row r="453" customFormat="false" ht="15" hidden="false" customHeight="false" outlineLevel="0" collapsed="false">
      <c r="A453" s="41"/>
      <c r="B453" s="42"/>
      <c r="C453" s="42"/>
      <c r="D453" s="42"/>
      <c r="E453" s="42"/>
      <c r="F453" s="42"/>
      <c r="G453" s="42"/>
    </row>
    <row r="454" customFormat="false" ht="15" hidden="false" customHeight="false" outlineLevel="0" collapsed="false">
      <c r="A454" s="41"/>
      <c r="B454" s="42"/>
      <c r="C454" s="42"/>
      <c r="D454" s="42"/>
      <c r="E454" s="42"/>
      <c r="F454" s="42"/>
      <c r="G454" s="42"/>
    </row>
    <row r="455" customFormat="false" ht="15" hidden="false" customHeight="false" outlineLevel="0" collapsed="false">
      <c r="A455" s="41"/>
      <c r="B455" s="42"/>
      <c r="C455" s="42"/>
      <c r="D455" s="42"/>
      <c r="E455" s="42"/>
      <c r="F455" s="42"/>
      <c r="G455" s="42"/>
    </row>
    <row r="456" customFormat="false" ht="15" hidden="false" customHeight="false" outlineLevel="0" collapsed="false">
      <c r="A456" s="41"/>
      <c r="B456" s="42"/>
      <c r="C456" s="42"/>
      <c r="D456" s="42"/>
      <c r="E456" s="42"/>
      <c r="F456" s="42"/>
      <c r="G456" s="42"/>
    </row>
    <row r="457" customFormat="false" ht="15" hidden="false" customHeight="false" outlineLevel="0" collapsed="false">
      <c r="A457" s="41"/>
      <c r="B457" s="42"/>
      <c r="C457" s="42"/>
      <c r="D457" s="42"/>
      <c r="E457" s="42"/>
      <c r="F457" s="42"/>
      <c r="G457" s="42"/>
    </row>
    <row r="458" customFormat="false" ht="15" hidden="false" customHeight="false" outlineLevel="0" collapsed="false">
      <c r="A458" s="41"/>
      <c r="B458" s="42"/>
      <c r="C458" s="42"/>
      <c r="D458" s="42"/>
      <c r="E458" s="42"/>
      <c r="F458" s="42"/>
      <c r="G458" s="42"/>
    </row>
    <row r="459" customFormat="false" ht="15" hidden="false" customHeight="false" outlineLevel="0" collapsed="false">
      <c r="A459" s="41"/>
      <c r="B459" s="42"/>
      <c r="C459" s="42"/>
      <c r="D459" s="42"/>
      <c r="E459" s="42"/>
      <c r="F459" s="42"/>
      <c r="G459" s="42"/>
    </row>
    <row r="460" customFormat="false" ht="15" hidden="false" customHeight="false" outlineLevel="0" collapsed="false">
      <c r="A460" s="41"/>
      <c r="B460" s="42"/>
      <c r="C460" s="42"/>
      <c r="D460" s="42"/>
      <c r="E460" s="42"/>
      <c r="F460" s="42"/>
      <c r="G460" s="42"/>
    </row>
    <row r="461" customFormat="false" ht="15" hidden="false" customHeight="false" outlineLevel="0" collapsed="false">
      <c r="A461" s="41"/>
      <c r="B461" s="42"/>
      <c r="C461" s="42"/>
      <c r="D461" s="42"/>
      <c r="E461" s="42"/>
      <c r="F461" s="42"/>
      <c r="G461" s="42"/>
    </row>
    <row r="462" customFormat="false" ht="15" hidden="false" customHeight="false" outlineLevel="0" collapsed="false">
      <c r="A462" s="41"/>
      <c r="B462" s="42"/>
      <c r="C462" s="42"/>
      <c r="D462" s="42"/>
      <c r="E462" s="42"/>
      <c r="F462" s="42"/>
      <c r="G462" s="42"/>
    </row>
    <row r="463" customFormat="false" ht="15" hidden="false" customHeight="false" outlineLevel="0" collapsed="false">
      <c r="A463" s="41"/>
      <c r="B463" s="42"/>
      <c r="C463" s="42"/>
      <c r="D463" s="42"/>
      <c r="E463" s="42"/>
      <c r="F463" s="42"/>
      <c r="G463" s="42"/>
    </row>
    <row r="464" customFormat="false" ht="15" hidden="false" customHeight="false" outlineLevel="0" collapsed="false">
      <c r="A464" s="41"/>
      <c r="B464" s="42"/>
      <c r="C464" s="42"/>
      <c r="D464" s="42"/>
      <c r="E464" s="42"/>
      <c r="F464" s="42"/>
      <c r="G464" s="42"/>
    </row>
    <row r="465" customFormat="false" ht="15" hidden="false" customHeight="false" outlineLevel="0" collapsed="false">
      <c r="A465" s="41"/>
      <c r="B465" s="42"/>
      <c r="C465" s="42"/>
      <c r="D465" s="42"/>
      <c r="E465" s="42"/>
      <c r="F465" s="42"/>
      <c r="G465" s="42"/>
    </row>
    <row r="466" customFormat="false" ht="15" hidden="false" customHeight="false" outlineLevel="0" collapsed="false">
      <c r="A466" s="41"/>
      <c r="B466" s="42"/>
      <c r="C466" s="42"/>
      <c r="D466" s="42"/>
      <c r="E466" s="42"/>
      <c r="F466" s="42"/>
      <c r="G466" s="42"/>
    </row>
    <row r="467" customFormat="false" ht="15" hidden="false" customHeight="false" outlineLevel="0" collapsed="false">
      <c r="A467" s="41"/>
      <c r="B467" s="42"/>
      <c r="C467" s="42"/>
      <c r="D467" s="42"/>
      <c r="E467" s="42"/>
      <c r="F467" s="42"/>
      <c r="G467" s="42"/>
    </row>
    <row r="468" customFormat="false" ht="15" hidden="false" customHeight="false" outlineLevel="0" collapsed="false">
      <c r="A468" s="41"/>
      <c r="B468" s="42"/>
      <c r="C468" s="42"/>
      <c r="D468" s="42"/>
      <c r="E468" s="42"/>
      <c r="F468" s="42"/>
      <c r="G468" s="42"/>
    </row>
    <row r="469" customFormat="false" ht="15" hidden="false" customHeight="false" outlineLevel="0" collapsed="false">
      <c r="A469" s="41"/>
      <c r="B469" s="42"/>
      <c r="C469" s="42"/>
      <c r="D469" s="42"/>
      <c r="E469" s="42"/>
      <c r="F469" s="42"/>
      <c r="G469" s="42"/>
    </row>
    <row r="470" customFormat="false" ht="15" hidden="false" customHeight="false" outlineLevel="0" collapsed="false">
      <c r="A470" s="41"/>
      <c r="B470" s="42"/>
      <c r="C470" s="42"/>
      <c r="D470" s="42"/>
      <c r="E470" s="42"/>
      <c r="F470" s="42"/>
      <c r="G470" s="42"/>
    </row>
    <row r="471" customFormat="false" ht="15" hidden="false" customHeight="false" outlineLevel="0" collapsed="false">
      <c r="A471" s="41"/>
      <c r="B471" s="42"/>
      <c r="C471" s="42"/>
      <c r="D471" s="42"/>
      <c r="E471" s="42"/>
      <c r="F471" s="42"/>
      <c r="G471" s="42"/>
    </row>
    <row r="472" customFormat="false" ht="15" hidden="false" customHeight="false" outlineLevel="0" collapsed="false">
      <c r="A472" s="41"/>
      <c r="B472" s="42"/>
      <c r="C472" s="42"/>
      <c r="D472" s="42"/>
      <c r="E472" s="42"/>
      <c r="F472" s="42"/>
      <c r="G472" s="42"/>
    </row>
    <row r="473" customFormat="false" ht="15" hidden="false" customHeight="false" outlineLevel="0" collapsed="false">
      <c r="A473" s="41"/>
      <c r="B473" s="42"/>
      <c r="C473" s="42"/>
      <c r="D473" s="42"/>
      <c r="E473" s="42"/>
      <c r="F473" s="42"/>
      <c r="G473" s="42"/>
    </row>
    <row r="474" customFormat="false" ht="15" hidden="false" customHeight="false" outlineLevel="0" collapsed="false">
      <c r="A474" s="41"/>
      <c r="B474" s="42"/>
      <c r="C474" s="42"/>
      <c r="D474" s="42"/>
      <c r="E474" s="42"/>
      <c r="F474" s="42"/>
      <c r="G474" s="42"/>
    </row>
    <row r="475" customFormat="false" ht="15" hidden="false" customHeight="false" outlineLevel="0" collapsed="false">
      <c r="A475" s="41"/>
      <c r="B475" s="42"/>
      <c r="C475" s="42"/>
      <c r="D475" s="42"/>
      <c r="E475" s="42"/>
      <c r="F475" s="42"/>
      <c r="G475" s="42"/>
    </row>
    <row r="476" customFormat="false" ht="15" hidden="false" customHeight="false" outlineLevel="0" collapsed="false">
      <c r="A476" s="41"/>
      <c r="B476" s="42"/>
      <c r="C476" s="42"/>
      <c r="D476" s="42"/>
      <c r="E476" s="42"/>
      <c r="F476" s="42"/>
      <c r="G476" s="42"/>
    </row>
    <row r="477" customFormat="false" ht="15" hidden="false" customHeight="false" outlineLevel="0" collapsed="false">
      <c r="A477" s="41"/>
      <c r="B477" s="42"/>
      <c r="C477" s="42"/>
      <c r="D477" s="42"/>
      <c r="E477" s="42"/>
      <c r="F477" s="42"/>
      <c r="G477" s="42"/>
    </row>
    <row r="478" customFormat="false" ht="15" hidden="false" customHeight="false" outlineLevel="0" collapsed="false">
      <c r="A478" s="41"/>
      <c r="B478" s="42"/>
      <c r="C478" s="42"/>
      <c r="D478" s="42"/>
      <c r="E478" s="42"/>
      <c r="F478" s="42"/>
      <c r="G478" s="42"/>
    </row>
    <row r="479" customFormat="false" ht="15" hidden="false" customHeight="false" outlineLevel="0" collapsed="false">
      <c r="A479" s="41"/>
      <c r="B479" s="42"/>
      <c r="C479" s="42"/>
      <c r="D479" s="42"/>
      <c r="E479" s="42"/>
      <c r="F479" s="42"/>
      <c r="G479" s="42"/>
    </row>
    <row r="480" customFormat="false" ht="15" hidden="false" customHeight="false" outlineLevel="0" collapsed="false">
      <c r="A480" s="41"/>
      <c r="B480" s="42"/>
      <c r="C480" s="42"/>
      <c r="D480" s="42"/>
      <c r="E480" s="42"/>
      <c r="F480" s="42"/>
      <c r="G480" s="42"/>
    </row>
    <row r="481" customFormat="false" ht="15" hidden="false" customHeight="false" outlineLevel="0" collapsed="false">
      <c r="A481" s="41"/>
      <c r="B481" s="42"/>
      <c r="C481" s="42"/>
      <c r="D481" s="42"/>
      <c r="E481" s="42"/>
      <c r="F481" s="42"/>
      <c r="G481" s="42"/>
    </row>
    <row r="482" customFormat="false" ht="15" hidden="false" customHeight="false" outlineLevel="0" collapsed="false">
      <c r="A482" s="41"/>
      <c r="B482" s="42"/>
      <c r="C482" s="42"/>
      <c r="D482" s="42"/>
      <c r="E482" s="42"/>
      <c r="F482" s="42"/>
      <c r="G482" s="42"/>
    </row>
    <row r="483" customFormat="false" ht="15" hidden="false" customHeight="false" outlineLevel="0" collapsed="false">
      <c r="A483" s="41"/>
      <c r="B483" s="42"/>
      <c r="C483" s="42"/>
      <c r="D483" s="42"/>
      <c r="E483" s="42"/>
      <c r="F483" s="42"/>
      <c r="G483" s="42"/>
    </row>
    <row r="484" customFormat="false" ht="15" hidden="false" customHeight="false" outlineLevel="0" collapsed="false">
      <c r="A484" s="41"/>
      <c r="B484" s="42"/>
      <c r="C484" s="42"/>
      <c r="D484" s="42"/>
      <c r="E484" s="42"/>
      <c r="F484" s="42"/>
      <c r="G484" s="42"/>
    </row>
    <row r="485" customFormat="false" ht="15" hidden="false" customHeight="false" outlineLevel="0" collapsed="false">
      <c r="A485" s="41"/>
      <c r="B485" s="42"/>
      <c r="C485" s="42"/>
      <c r="D485" s="42"/>
      <c r="E485" s="42"/>
      <c r="F485" s="42"/>
      <c r="G485" s="42"/>
    </row>
    <row r="486" customFormat="false" ht="15" hidden="false" customHeight="false" outlineLevel="0" collapsed="false">
      <c r="A486" s="41"/>
      <c r="B486" s="42"/>
      <c r="C486" s="42"/>
      <c r="D486" s="42"/>
      <c r="E486" s="42"/>
      <c r="F486" s="42"/>
      <c r="G486" s="42"/>
    </row>
    <row r="487" customFormat="false" ht="15" hidden="false" customHeight="false" outlineLevel="0" collapsed="false">
      <c r="A487" s="41"/>
      <c r="B487" s="42"/>
      <c r="C487" s="42"/>
      <c r="D487" s="42"/>
      <c r="E487" s="42"/>
      <c r="F487" s="42"/>
      <c r="G487" s="42"/>
    </row>
    <row r="488" customFormat="false" ht="15" hidden="false" customHeight="false" outlineLevel="0" collapsed="false">
      <c r="A488" s="41"/>
      <c r="B488" s="42"/>
      <c r="C488" s="42"/>
      <c r="D488" s="42"/>
      <c r="E488" s="42"/>
      <c r="F488" s="42"/>
      <c r="G488" s="42"/>
    </row>
    <row r="489" customFormat="false" ht="15" hidden="false" customHeight="false" outlineLevel="0" collapsed="false">
      <c r="A489" s="41"/>
      <c r="B489" s="42"/>
      <c r="C489" s="42"/>
      <c r="D489" s="42"/>
      <c r="E489" s="42"/>
      <c r="F489" s="42"/>
      <c r="G489" s="42"/>
    </row>
    <row r="490" customFormat="false" ht="15" hidden="false" customHeight="false" outlineLevel="0" collapsed="false">
      <c r="A490" s="41"/>
      <c r="B490" s="42"/>
      <c r="C490" s="42"/>
      <c r="D490" s="42"/>
      <c r="E490" s="42"/>
      <c r="F490" s="42"/>
      <c r="G490" s="42"/>
    </row>
    <row r="491" customFormat="false" ht="15" hidden="false" customHeight="false" outlineLevel="0" collapsed="false">
      <c r="A491" s="41"/>
      <c r="B491" s="42"/>
      <c r="C491" s="42"/>
      <c r="D491" s="42"/>
      <c r="E491" s="42"/>
      <c r="F491" s="42"/>
      <c r="G491" s="42"/>
    </row>
    <row r="492" customFormat="false" ht="15" hidden="false" customHeight="false" outlineLevel="0" collapsed="false">
      <c r="A492" s="41"/>
      <c r="B492" s="42"/>
      <c r="C492" s="42"/>
      <c r="D492" s="42"/>
      <c r="E492" s="42"/>
      <c r="F492" s="42"/>
      <c r="G492" s="42"/>
    </row>
    <row r="493" customFormat="false" ht="15" hidden="false" customHeight="false" outlineLevel="0" collapsed="false">
      <c r="A493" s="41"/>
      <c r="B493" s="42"/>
      <c r="C493" s="42"/>
      <c r="D493" s="42"/>
      <c r="E493" s="42"/>
      <c r="F493" s="42"/>
      <c r="G493" s="42"/>
    </row>
    <row r="494" customFormat="false" ht="15" hidden="false" customHeight="false" outlineLevel="0" collapsed="false">
      <c r="A494" s="41"/>
      <c r="B494" s="42"/>
      <c r="C494" s="42"/>
      <c r="D494" s="42"/>
      <c r="E494" s="42"/>
      <c r="F494" s="42"/>
      <c r="G494" s="42"/>
    </row>
    <row r="495" customFormat="false" ht="15" hidden="false" customHeight="false" outlineLevel="0" collapsed="false">
      <c r="A495" s="41"/>
      <c r="B495" s="42"/>
      <c r="C495" s="42"/>
      <c r="D495" s="42"/>
      <c r="E495" s="42"/>
      <c r="F495" s="42"/>
      <c r="G495" s="42"/>
    </row>
    <row r="496" customFormat="false" ht="15" hidden="false" customHeight="false" outlineLevel="0" collapsed="false">
      <c r="A496" s="41"/>
      <c r="B496" s="42"/>
      <c r="C496" s="42"/>
      <c r="D496" s="42"/>
      <c r="E496" s="42"/>
      <c r="F496" s="42"/>
      <c r="G496" s="42"/>
    </row>
    <row r="497" customFormat="false" ht="15" hidden="false" customHeight="false" outlineLevel="0" collapsed="false">
      <c r="A497" s="41"/>
      <c r="B497" s="42"/>
      <c r="C497" s="42"/>
      <c r="D497" s="42"/>
      <c r="E497" s="42"/>
      <c r="F497" s="42"/>
      <c r="G497" s="42"/>
    </row>
    <row r="498" customFormat="false" ht="15" hidden="false" customHeight="false" outlineLevel="0" collapsed="false">
      <c r="A498" s="41"/>
      <c r="B498" s="42"/>
      <c r="C498" s="42"/>
      <c r="D498" s="42"/>
      <c r="E498" s="42"/>
      <c r="F498" s="42"/>
      <c r="G498" s="42"/>
    </row>
    <row r="499" customFormat="false" ht="15" hidden="false" customHeight="false" outlineLevel="0" collapsed="false">
      <c r="A499" s="41"/>
      <c r="B499" s="42"/>
      <c r="C499" s="42"/>
      <c r="D499" s="42"/>
      <c r="E499" s="42"/>
      <c r="F499" s="42"/>
      <c r="G499" s="4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32"/>
  </cols>
  <sheetData>
    <row r="1" customFormat="false" ht="27.75" hidden="false" customHeight="true" outlineLevel="0" collapsed="false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271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2" t="s">
        <v>272</v>
      </c>
      <c r="B4" s="12" t="s">
        <v>273</v>
      </c>
      <c r="C4" s="12" t="s">
        <v>274</v>
      </c>
      <c r="D4" s="12" t="s">
        <v>275</v>
      </c>
      <c r="E4" s="12" t="s">
        <v>276</v>
      </c>
      <c r="F4" s="12" t="s">
        <v>277</v>
      </c>
      <c r="G4" s="12" t="s">
        <v>278</v>
      </c>
      <c r="H4" s="12" t="s">
        <v>279</v>
      </c>
      <c r="I4" s="12" t="s">
        <v>280</v>
      </c>
      <c r="J4" s="12" t="s">
        <v>87</v>
      </c>
    </row>
    <row r="5" customFormat="false" ht="15" hidden="false" customHeight="false" outlineLevel="0" collapsed="false">
      <c r="A5" s="42" t="s">
        <v>281</v>
      </c>
      <c r="B5" s="42" t="s">
        <v>282</v>
      </c>
      <c r="C5" s="42" t="s">
        <v>283</v>
      </c>
      <c r="D5" s="42" t="s">
        <v>284</v>
      </c>
      <c r="E5" s="42" t="s">
        <v>285</v>
      </c>
      <c r="F5" s="43" t="n">
        <v>2000000</v>
      </c>
      <c r="G5" s="41" t="n">
        <v>46157</v>
      </c>
      <c r="H5" s="41" t="n">
        <v>46170</v>
      </c>
      <c r="I5" s="42" t="s">
        <v>163</v>
      </c>
      <c r="J5" s="42" t="s">
        <v>286</v>
      </c>
    </row>
    <row r="6" customFormat="false" ht="15" hidden="false" customHeight="false" outlineLevel="0" collapsed="false">
      <c r="A6" s="42" t="s">
        <v>287</v>
      </c>
      <c r="B6" s="42" t="s">
        <v>288</v>
      </c>
      <c r="C6" s="42" t="s">
        <v>289</v>
      </c>
      <c r="D6" s="42" t="s">
        <v>290</v>
      </c>
      <c r="E6" s="42" t="s">
        <v>291</v>
      </c>
      <c r="F6" s="43" t="n">
        <v>5000000</v>
      </c>
      <c r="G6" s="41" t="n">
        <v>46122</v>
      </c>
      <c r="H6" s="41" t="n">
        <v>46137</v>
      </c>
      <c r="I6" s="42" t="s">
        <v>163</v>
      </c>
      <c r="J6" s="42" t="s">
        <v>292</v>
      </c>
    </row>
    <row r="7" customFormat="false" ht="15" hidden="false" customHeight="false" outlineLevel="0" collapsed="false">
      <c r="A7" s="42" t="s">
        <v>293</v>
      </c>
      <c r="B7" s="42" t="s">
        <v>294</v>
      </c>
      <c r="C7" s="42" t="s">
        <v>295</v>
      </c>
      <c r="D7" s="42" t="s">
        <v>296</v>
      </c>
      <c r="E7" s="42" t="s">
        <v>297</v>
      </c>
      <c r="F7" s="43" t="n">
        <v>1500000</v>
      </c>
      <c r="G7" s="41" t="n">
        <v>46132</v>
      </c>
      <c r="H7" s="41" t="n">
        <v>46147</v>
      </c>
      <c r="I7" s="42" t="s">
        <v>163</v>
      </c>
      <c r="J7" s="42" t="s">
        <v>298</v>
      </c>
    </row>
    <row r="8" customFormat="false" ht="15" hidden="false" customHeight="false" outlineLevel="0" collapsed="false">
      <c r="A8" s="42" t="s">
        <v>299</v>
      </c>
      <c r="B8" s="42" t="s">
        <v>300</v>
      </c>
      <c r="C8" s="42" t="s">
        <v>301</v>
      </c>
      <c r="D8" s="42" t="s">
        <v>296</v>
      </c>
      <c r="E8" s="42" t="s">
        <v>302</v>
      </c>
      <c r="F8" s="43" t="n">
        <v>3000000</v>
      </c>
      <c r="G8" s="41" t="n">
        <v>46162</v>
      </c>
      <c r="H8" s="41" t="n">
        <v>46162</v>
      </c>
      <c r="I8" s="42" t="s">
        <v>163</v>
      </c>
      <c r="J8" s="42" t="s">
        <v>303</v>
      </c>
    </row>
    <row r="9" customFormat="false" ht="15" hidden="false" customHeight="false" outlineLevel="0" collapsed="false">
      <c r="A9" s="42" t="s">
        <v>304</v>
      </c>
      <c r="B9" s="42" t="s">
        <v>305</v>
      </c>
      <c r="C9" s="42" t="s">
        <v>306</v>
      </c>
      <c r="D9" s="42" t="s">
        <v>296</v>
      </c>
      <c r="E9" s="42" t="s">
        <v>302</v>
      </c>
      <c r="F9" s="43" t="n">
        <v>3000000</v>
      </c>
      <c r="G9" s="41" t="n">
        <v>46162</v>
      </c>
      <c r="H9" s="41" t="n">
        <v>46162</v>
      </c>
      <c r="I9" s="42" t="s">
        <v>163</v>
      </c>
      <c r="J9" s="42" t="s">
        <v>307</v>
      </c>
    </row>
    <row r="10" customFormat="false" ht="15" hidden="false" customHeight="false" outlineLevel="0" collapsed="false">
      <c r="A10" s="42" t="inlineStr">
        <is>
          <t xml:space="preserve">OPP-006</t>
        </is>
      </c>
      <c r="B10" s="42" t="inlineStr">
        <is>
          <t xml:space="preserve">CBO "SENTRY" IT Engineering Support (CB26-RFQ0012)</t>
        </is>
      </c>
      <c r="C10" s="42" t="inlineStr">
        <is>
          <t xml:space="preserve">Congressional Budget Office (CBO)</t>
        </is>
      </c>
      <c r="D10" s="42" t="inlineStr">
        <is>
          <t xml:space="preserve">541519</t>
        </is>
      </c>
      <c r="E10" s="42" t="inlineStr">
        <is>
          <t xml:space="preserve">Capture</t>
        </is>
      </c>
      <c r="F10" s="43" t="n">
        <v>0</v>
      </c>
      <c r="G10" s="41" t="n">
        <v>46175</v>
      </c>
      <c r="H10" s="41" t="n">
        <v>46178</v>
      </c>
      <c r="I10" s="42" t="inlineStr">
        <is>
          <t xml:space="preserve">Khaalis Wooden</t>
        </is>
      </c>
      <c r="J10" s="42" t="inlineStr">
        <is>
          <t xml:space="preserve">Teaming with The Enterprise Solutions (TES). Network/DevSecOps/Service Desk/Web Security/Cybersecurity DoWs (J2,J3,J6-J9). 12-mo base + 4 option yrs. Value TBD.</t>
        </is>
      </c>
    </row>
    <row r="11" customFormat="false" ht="15" hidden="false" customHeight="false" outlineLevel="0" collapsed="false">
      <c r="A11" s="42" t="inlineStr">
        <is>
          <t xml:space="preserve">OPP-007</t>
        </is>
      </c>
      <c r="B11" s="42" t="inlineStr">
        <is>
          <t xml:space="preserve">CDC IFMS Services &amp; Support (75D301-26-Q-78924)</t>
        </is>
      </c>
      <c r="C11" s="42" t="inlineStr">
        <is>
          <t xml:space="preserve">Centers for Disease Control and Prevention (CDC)</t>
        </is>
      </c>
      <c r="D11" s="42" t="inlineStr">
        <is>
          <t xml:space="preserve">541512</t>
        </is>
      </c>
      <c r="E11" s="42" t="inlineStr">
        <is>
          <t xml:space="preserve">Capture</t>
        </is>
      </c>
      <c r="F11" s="43" t="n">
        <v>0</v>
      </c>
      <c r="G11" s="41" t="n">
        <v>46175</v>
      </c>
      <c r="H11" s="41" t="n">
        <v>46178</v>
      </c>
      <c r="I11" s="42" t="inlineStr">
        <is>
          <t xml:space="preserve">Khaalis Wooden</t>
        </is>
      </c>
      <c r="J11" s="42" t="inlineStr">
        <is>
          <t xml:space="preserve">Teaming with The Enterprise Solutions (TES). NAICS 541512, GSA SIN 54151S, 100% small business set-aside. Base + 4 option yrs (PoP 7/1/2026). Value TBD.</t>
        </is>
      </c>
    </row>
    <row r="12" customFormat="false" ht="15" hidden="false" customHeight="false" outlineLevel="0" collapsed="false">
      <c r="A12" s="42" t="inlineStr">
        <is>
          <t xml:space="preserve">OPP-008</t>
        </is>
      </c>
      <c r="B12" s="42" t="inlineStr">
        <is>
          <t xml:space="preserve">VA TERPS Support (36C10B26Q0107)</t>
        </is>
      </c>
      <c r="C12" s="42" t="inlineStr">
        <is>
          <t xml:space="preserve">Department of Veterans Affairs (VA)</t>
        </is>
      </c>
      <c r="D12" s="42" t="inlineStr">
        <is>
          <t xml:space="preserve">541512</t>
        </is>
      </c>
      <c r="E12" s="42" t="inlineStr">
        <is>
          <t xml:space="preserve">Capture</t>
        </is>
      </c>
      <c r="F12" s="43" t="n">
        <v>0</v>
      </c>
      <c r="G12" s="41" t="n">
        <v>46175</v>
      </c>
      <c r="H12" s="41" t="n">
        <v>46178</v>
      </c>
      <c r="I12" s="42" t="inlineStr">
        <is>
          <t xml:space="preserve">Khaalis Wooden</t>
        </is>
      </c>
      <c r="J12" s="42" t="inlineStr">
        <is>
          <t xml:space="preserve">Teaming with The Enterprise Solutions (TES). TERPS PWS. NOTE: uploaded PDF body mislabeled vs filename - verify PWS scope. NAICS/value TBD.</t>
        </is>
      </c>
    </row>
    <row r="13" customFormat="false" ht="15" hidden="false" customHeight="false" outlineLevel="0" collapsed="false">
      <c r="A13" s="42"/>
      <c r="B13" s="42"/>
      <c r="C13" s="42"/>
      <c r="D13" s="42"/>
      <c r="E13" s="42"/>
      <c r="F13" s="43"/>
      <c r="G13" s="41"/>
      <c r="H13" s="41"/>
      <c r="I13" s="42"/>
      <c r="J13" s="42"/>
    </row>
    <row r="14" customFormat="false" ht="15" hidden="false" customHeight="false" outlineLevel="0" collapsed="false">
      <c r="A14" s="42"/>
      <c r="B14" s="42"/>
      <c r="C14" s="42"/>
      <c r="D14" s="42"/>
      <c r="E14" s="42"/>
      <c r="F14" s="43"/>
      <c r="G14" s="41"/>
      <c r="H14" s="41"/>
      <c r="I14" s="42"/>
      <c r="J14" s="42"/>
    </row>
    <row r="15" customFormat="false" ht="15" hidden="false" customHeight="false" outlineLevel="0" collapsed="false">
      <c r="A15" s="42"/>
      <c r="B15" s="42"/>
      <c r="C15" s="42"/>
      <c r="D15" s="42"/>
      <c r="E15" s="42"/>
      <c r="F15" s="43"/>
      <c r="G15" s="41"/>
      <c r="H15" s="41"/>
      <c r="I15" s="42"/>
      <c r="J15" s="42"/>
    </row>
    <row r="16" customFormat="false" ht="15" hidden="false" customHeight="false" outlineLevel="0" collapsed="false">
      <c r="A16" s="42"/>
      <c r="B16" s="42"/>
      <c r="C16" s="42"/>
      <c r="D16" s="42"/>
      <c r="E16" s="42"/>
      <c r="F16" s="43"/>
      <c r="G16" s="41"/>
      <c r="H16" s="41"/>
      <c r="I16" s="42"/>
      <c r="J16" s="42"/>
    </row>
    <row r="17" customFormat="false" ht="15" hidden="false" customHeight="false" outlineLevel="0" collapsed="false">
      <c r="A17" s="42"/>
      <c r="B17" s="42"/>
      <c r="C17" s="42"/>
      <c r="D17" s="42"/>
      <c r="E17" s="42"/>
      <c r="F17" s="43"/>
      <c r="G17" s="41"/>
      <c r="H17" s="41"/>
      <c r="I17" s="42"/>
      <c r="J17" s="42"/>
    </row>
    <row r="18" customFormat="false" ht="15" hidden="false" customHeight="false" outlineLevel="0" collapsed="false">
      <c r="A18" s="42"/>
      <c r="B18" s="42"/>
      <c r="C18" s="42"/>
      <c r="D18" s="42"/>
      <c r="E18" s="42"/>
      <c r="F18" s="43"/>
      <c r="G18" s="41"/>
      <c r="H18" s="41"/>
      <c r="I18" s="42"/>
      <c r="J18" s="42"/>
    </row>
    <row r="19" customFormat="false" ht="15" hidden="false" customHeight="false" outlineLevel="0" collapsed="false">
      <c r="A19" s="42"/>
      <c r="B19" s="42"/>
      <c r="C19" s="42"/>
      <c r="D19" s="42"/>
      <c r="E19" s="42"/>
      <c r="F19" s="43"/>
      <c r="G19" s="41"/>
      <c r="H19" s="41"/>
      <c r="I19" s="42"/>
      <c r="J19" s="42"/>
    </row>
    <row r="20" customFormat="false" ht="15" hidden="false" customHeight="false" outlineLevel="0" collapsed="false">
      <c r="A20" s="42"/>
      <c r="B20" s="42"/>
      <c r="C20" s="42"/>
      <c r="D20" s="42"/>
      <c r="E20" s="42"/>
      <c r="F20" s="43"/>
      <c r="G20" s="41"/>
      <c r="H20" s="41"/>
      <c r="I20" s="42"/>
      <c r="J20" s="42"/>
    </row>
    <row r="21" customFormat="false" ht="15" hidden="false" customHeight="false" outlineLevel="0" collapsed="false">
      <c r="A21" s="42"/>
      <c r="B21" s="42"/>
      <c r="C21" s="42"/>
      <c r="D21" s="42"/>
      <c r="E21" s="42"/>
      <c r="F21" s="43"/>
      <c r="G21" s="41"/>
      <c r="H21" s="41"/>
      <c r="I21" s="42"/>
      <c r="J21" s="42"/>
    </row>
    <row r="22" customFormat="false" ht="15" hidden="false" customHeight="false" outlineLevel="0" collapsed="false">
      <c r="A22" s="42"/>
      <c r="B22" s="42"/>
      <c r="C22" s="42"/>
      <c r="D22" s="42"/>
      <c r="E22" s="42"/>
      <c r="F22" s="43"/>
      <c r="G22" s="41"/>
      <c r="H22" s="41"/>
      <c r="I22" s="42"/>
      <c r="J22" s="42"/>
    </row>
    <row r="23" customFormat="false" ht="15" hidden="false" customHeight="false" outlineLevel="0" collapsed="false">
      <c r="A23" s="42"/>
      <c r="B23" s="42"/>
      <c r="C23" s="42"/>
      <c r="D23" s="42"/>
      <c r="E23" s="42"/>
      <c r="F23" s="43"/>
      <c r="G23" s="41"/>
      <c r="H23" s="41"/>
      <c r="I23" s="42"/>
      <c r="J23" s="42"/>
    </row>
    <row r="24" customFormat="false" ht="15" hidden="false" customHeight="false" outlineLevel="0" collapsed="false">
      <c r="A24" s="42"/>
      <c r="B24" s="42"/>
      <c r="C24" s="42"/>
      <c r="D24" s="42"/>
      <c r="E24" s="42"/>
      <c r="F24" s="43"/>
      <c r="G24" s="41"/>
      <c r="H24" s="41"/>
      <c r="I24" s="42"/>
      <c r="J24" s="42"/>
    </row>
    <row r="25" customFormat="false" ht="15" hidden="false" customHeight="false" outlineLevel="0" collapsed="false">
      <c r="A25" s="42"/>
      <c r="B25" s="42"/>
      <c r="C25" s="42"/>
      <c r="D25" s="42"/>
      <c r="E25" s="42"/>
      <c r="F25" s="43"/>
      <c r="G25" s="41"/>
      <c r="H25" s="41"/>
      <c r="I25" s="42"/>
      <c r="J25" s="42"/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3"/>
      <c r="G26" s="41"/>
      <c r="H26" s="41"/>
      <c r="I26" s="42"/>
      <c r="J26" s="42"/>
    </row>
    <row r="27" customFormat="false" ht="15" hidden="false" customHeight="false" outlineLevel="0" collapsed="false">
      <c r="A27" s="42"/>
      <c r="B27" s="42"/>
      <c r="C27" s="42"/>
      <c r="D27" s="42"/>
      <c r="E27" s="42"/>
      <c r="F27" s="43"/>
      <c r="G27" s="41"/>
      <c r="H27" s="41"/>
      <c r="I27" s="42"/>
      <c r="J27" s="42"/>
    </row>
    <row r="28" customFormat="false" ht="15" hidden="false" customHeight="false" outlineLevel="0" collapsed="false">
      <c r="A28" s="42"/>
      <c r="B28" s="42"/>
      <c r="C28" s="42"/>
      <c r="D28" s="42"/>
      <c r="E28" s="42"/>
      <c r="F28" s="43"/>
      <c r="G28" s="41"/>
      <c r="H28" s="41"/>
      <c r="I28" s="42"/>
      <c r="J28" s="42"/>
    </row>
    <row r="29" customFormat="false" ht="15" hidden="false" customHeight="false" outlineLevel="0" collapsed="false">
      <c r="A29" s="42"/>
      <c r="B29" s="42"/>
      <c r="C29" s="42"/>
      <c r="D29" s="42"/>
      <c r="E29" s="42"/>
      <c r="F29" s="43"/>
      <c r="G29" s="41"/>
      <c r="H29" s="41"/>
      <c r="I29" s="42"/>
      <c r="J29" s="42"/>
    </row>
    <row r="30" customFormat="false" ht="15" hidden="false" customHeight="false" outlineLevel="0" collapsed="false">
      <c r="A30" s="42"/>
      <c r="B30" s="42"/>
      <c r="C30" s="42"/>
      <c r="D30" s="42"/>
      <c r="E30" s="42"/>
      <c r="F30" s="43"/>
      <c r="G30" s="41"/>
      <c r="H30" s="41"/>
      <c r="I30" s="42"/>
      <c r="J30" s="42"/>
    </row>
    <row r="31" customFormat="false" ht="15" hidden="false" customHeight="false" outlineLevel="0" collapsed="false">
      <c r="A31" s="42"/>
      <c r="B31" s="42"/>
      <c r="C31" s="42"/>
      <c r="D31" s="42"/>
      <c r="E31" s="42"/>
      <c r="F31" s="43"/>
      <c r="G31" s="41"/>
      <c r="H31" s="41"/>
      <c r="I31" s="42"/>
      <c r="J31" s="42"/>
    </row>
    <row r="32" customFormat="false" ht="15" hidden="false" customHeight="false" outlineLevel="0" collapsed="false">
      <c r="A32" s="42"/>
      <c r="B32" s="42"/>
      <c r="C32" s="42"/>
      <c r="D32" s="42"/>
      <c r="E32" s="42"/>
      <c r="F32" s="43"/>
      <c r="G32" s="41"/>
      <c r="H32" s="41"/>
      <c r="I32" s="42"/>
      <c r="J32" s="42"/>
    </row>
    <row r="33" customFormat="false" ht="15" hidden="false" customHeight="false" outlineLevel="0" collapsed="false">
      <c r="A33" s="42"/>
      <c r="B33" s="42"/>
      <c r="C33" s="42"/>
      <c r="D33" s="42"/>
      <c r="E33" s="42"/>
      <c r="F33" s="43"/>
      <c r="G33" s="41"/>
      <c r="H33" s="41"/>
      <c r="I33" s="42"/>
      <c r="J33" s="42"/>
    </row>
    <row r="34" customFormat="false" ht="15" hidden="false" customHeight="false" outlineLevel="0" collapsed="false">
      <c r="A34" s="42"/>
      <c r="B34" s="42"/>
      <c r="C34" s="42"/>
      <c r="D34" s="42"/>
      <c r="E34" s="42"/>
      <c r="F34" s="43"/>
      <c r="G34" s="41"/>
      <c r="H34" s="41"/>
      <c r="I34" s="42"/>
      <c r="J34" s="42"/>
    </row>
    <row r="35" customFormat="false" ht="15" hidden="false" customHeight="false" outlineLevel="0" collapsed="false">
      <c r="A35" s="42"/>
      <c r="B35" s="42"/>
      <c r="C35" s="42"/>
      <c r="D35" s="42"/>
      <c r="E35" s="42"/>
      <c r="F35" s="43"/>
      <c r="G35" s="41"/>
      <c r="H35" s="41"/>
      <c r="I35" s="42"/>
      <c r="J35" s="42"/>
    </row>
    <row r="36" customFormat="false" ht="15" hidden="false" customHeight="false" outlineLevel="0" collapsed="false">
      <c r="A36" s="42"/>
      <c r="B36" s="42"/>
      <c r="C36" s="42"/>
      <c r="D36" s="42"/>
      <c r="E36" s="42"/>
      <c r="F36" s="43"/>
      <c r="G36" s="41"/>
      <c r="H36" s="41"/>
      <c r="I36" s="42"/>
      <c r="J36" s="42"/>
    </row>
    <row r="37" customFormat="false" ht="15" hidden="false" customHeight="false" outlineLevel="0" collapsed="false">
      <c r="A37" s="42"/>
      <c r="B37" s="42"/>
      <c r="C37" s="42"/>
      <c r="D37" s="42"/>
      <c r="E37" s="42"/>
      <c r="F37" s="43"/>
      <c r="G37" s="41"/>
      <c r="H37" s="41"/>
      <c r="I37" s="42"/>
      <c r="J37" s="42"/>
    </row>
    <row r="38" customFormat="false" ht="15" hidden="false" customHeight="false" outlineLevel="0" collapsed="false">
      <c r="A38" s="42"/>
      <c r="B38" s="42"/>
      <c r="C38" s="42"/>
      <c r="D38" s="42"/>
      <c r="E38" s="42"/>
      <c r="F38" s="43"/>
      <c r="G38" s="41"/>
      <c r="H38" s="41"/>
      <c r="I38" s="42"/>
      <c r="J38" s="42"/>
    </row>
    <row r="39" customFormat="false" ht="15" hidden="false" customHeight="false" outlineLevel="0" collapsed="false">
      <c r="A39" s="42"/>
      <c r="B39" s="42"/>
      <c r="C39" s="42"/>
      <c r="D39" s="42"/>
      <c r="E39" s="42"/>
      <c r="F39" s="43"/>
      <c r="G39" s="41"/>
      <c r="H39" s="41"/>
      <c r="I39" s="42"/>
      <c r="J39" s="42"/>
    </row>
    <row r="40" customFormat="false" ht="15" hidden="false" customHeight="false" outlineLevel="0" collapsed="false">
      <c r="A40" s="42"/>
      <c r="B40" s="42"/>
      <c r="C40" s="42"/>
      <c r="D40" s="42"/>
      <c r="E40" s="42"/>
      <c r="F40" s="43"/>
      <c r="G40" s="41"/>
      <c r="H40" s="41"/>
      <c r="I40" s="42"/>
      <c r="J40" s="42"/>
    </row>
    <row r="41" customFormat="false" ht="15" hidden="false" customHeight="false" outlineLevel="0" collapsed="false">
      <c r="A41" s="42"/>
      <c r="B41" s="42"/>
      <c r="C41" s="42"/>
      <c r="D41" s="42"/>
      <c r="E41" s="42"/>
      <c r="F41" s="43"/>
      <c r="G41" s="41"/>
      <c r="H41" s="41"/>
      <c r="I41" s="42"/>
      <c r="J41" s="42"/>
    </row>
    <row r="42" customFormat="false" ht="15" hidden="false" customHeight="false" outlineLevel="0" collapsed="false">
      <c r="A42" s="42"/>
      <c r="B42" s="42"/>
      <c r="C42" s="42"/>
      <c r="D42" s="42"/>
      <c r="E42" s="42"/>
      <c r="F42" s="43"/>
      <c r="G42" s="41"/>
      <c r="H42" s="41"/>
      <c r="I42" s="42"/>
      <c r="J42" s="42"/>
    </row>
    <row r="43" customFormat="false" ht="15" hidden="false" customHeight="false" outlineLevel="0" collapsed="false">
      <c r="A43" s="42"/>
      <c r="B43" s="42"/>
      <c r="C43" s="42"/>
      <c r="D43" s="42"/>
      <c r="E43" s="42"/>
      <c r="F43" s="43"/>
      <c r="G43" s="41"/>
      <c r="H43" s="41"/>
      <c r="I43" s="42"/>
      <c r="J43" s="42"/>
    </row>
    <row r="44" customFormat="false" ht="15" hidden="false" customHeight="false" outlineLevel="0" collapsed="false">
      <c r="A44" s="42"/>
      <c r="B44" s="42"/>
      <c r="C44" s="42"/>
      <c r="D44" s="42"/>
      <c r="E44" s="42"/>
      <c r="F44" s="43"/>
      <c r="G44" s="41"/>
      <c r="H44" s="41"/>
      <c r="I44" s="42"/>
      <c r="J44" s="42"/>
    </row>
    <row r="45" customFormat="false" ht="15" hidden="false" customHeight="false" outlineLevel="0" collapsed="false">
      <c r="A45" s="42"/>
      <c r="B45" s="42"/>
      <c r="C45" s="42"/>
      <c r="D45" s="42"/>
      <c r="E45" s="42"/>
      <c r="F45" s="43"/>
      <c r="G45" s="41"/>
      <c r="H45" s="41"/>
      <c r="I45" s="42"/>
      <c r="J45" s="42"/>
    </row>
    <row r="46" customFormat="false" ht="15" hidden="false" customHeight="false" outlineLevel="0" collapsed="false">
      <c r="A46" s="42"/>
      <c r="B46" s="42"/>
      <c r="C46" s="42"/>
      <c r="D46" s="42"/>
      <c r="E46" s="42"/>
      <c r="F46" s="43"/>
      <c r="G46" s="41"/>
      <c r="H46" s="41"/>
      <c r="I46" s="42"/>
      <c r="J46" s="42"/>
    </row>
    <row r="47" customFormat="false" ht="15" hidden="false" customHeight="false" outlineLevel="0" collapsed="false">
      <c r="A47" s="42"/>
      <c r="B47" s="42"/>
      <c r="C47" s="42"/>
      <c r="D47" s="42"/>
      <c r="E47" s="42"/>
      <c r="F47" s="43"/>
      <c r="G47" s="41"/>
      <c r="H47" s="41"/>
      <c r="I47" s="42"/>
      <c r="J47" s="42"/>
    </row>
    <row r="48" customFormat="false" ht="15" hidden="false" customHeight="false" outlineLevel="0" collapsed="false">
      <c r="A48" s="42"/>
      <c r="B48" s="42"/>
      <c r="C48" s="42"/>
      <c r="D48" s="42"/>
      <c r="E48" s="42"/>
      <c r="F48" s="43"/>
      <c r="G48" s="41"/>
      <c r="H48" s="41"/>
      <c r="I48" s="42"/>
      <c r="J48" s="42"/>
    </row>
    <row r="49" customFormat="false" ht="15" hidden="false" customHeight="false" outlineLevel="0" collapsed="false">
      <c r="A49" s="42"/>
      <c r="B49" s="42"/>
      <c r="C49" s="42"/>
      <c r="D49" s="42"/>
      <c r="E49" s="42"/>
      <c r="F49" s="43"/>
      <c r="G49" s="41"/>
      <c r="H49" s="41"/>
      <c r="I49" s="42"/>
      <c r="J49" s="42"/>
    </row>
    <row r="50" customFormat="false" ht="15" hidden="false" customHeight="false" outlineLevel="0" collapsed="false">
      <c r="A50" s="42"/>
      <c r="B50" s="42"/>
      <c r="C50" s="42"/>
      <c r="D50" s="42"/>
      <c r="E50" s="42"/>
      <c r="F50" s="43"/>
      <c r="G50" s="41"/>
      <c r="H50" s="41"/>
      <c r="I50" s="42"/>
      <c r="J50" s="42"/>
    </row>
    <row r="51" customFormat="false" ht="15" hidden="false" customHeight="false" outlineLevel="0" collapsed="false">
      <c r="A51" s="42"/>
      <c r="B51" s="42"/>
      <c r="C51" s="42"/>
      <c r="D51" s="42"/>
      <c r="E51" s="42"/>
      <c r="F51" s="43"/>
      <c r="G51" s="41"/>
      <c r="H51" s="41"/>
      <c r="I51" s="42"/>
      <c r="J51" s="42"/>
    </row>
    <row r="52" customFormat="false" ht="15" hidden="false" customHeight="false" outlineLevel="0" collapsed="false">
      <c r="A52" s="42"/>
      <c r="B52" s="42"/>
      <c r="C52" s="42"/>
      <c r="D52" s="42"/>
      <c r="E52" s="42"/>
      <c r="F52" s="43"/>
      <c r="G52" s="41"/>
      <c r="H52" s="41"/>
      <c r="I52" s="42"/>
      <c r="J52" s="42"/>
    </row>
    <row r="53" customFormat="false" ht="15" hidden="false" customHeight="false" outlineLevel="0" collapsed="false">
      <c r="A53" s="42"/>
      <c r="B53" s="42"/>
      <c r="C53" s="42"/>
      <c r="D53" s="42"/>
      <c r="E53" s="42"/>
      <c r="F53" s="43"/>
      <c r="G53" s="41"/>
      <c r="H53" s="41"/>
      <c r="I53" s="42"/>
      <c r="J53" s="42"/>
    </row>
    <row r="54" customFormat="false" ht="15" hidden="false" customHeight="false" outlineLevel="0" collapsed="false">
      <c r="A54" s="42"/>
      <c r="B54" s="42"/>
      <c r="C54" s="42"/>
      <c r="D54" s="42"/>
      <c r="E54" s="42"/>
      <c r="F54" s="43"/>
      <c r="G54" s="41"/>
      <c r="H54" s="41"/>
      <c r="I54" s="42"/>
      <c r="J54" s="42"/>
    </row>
    <row r="55" customFormat="false" ht="15" hidden="false" customHeight="false" outlineLevel="0" collapsed="false">
      <c r="A55" s="42"/>
      <c r="B55" s="42"/>
      <c r="C55" s="42"/>
      <c r="D55" s="42"/>
      <c r="E55" s="42"/>
      <c r="F55" s="43"/>
      <c r="G55" s="41"/>
      <c r="H55" s="41"/>
      <c r="I55" s="42"/>
      <c r="J55" s="42"/>
    </row>
    <row r="56" customFormat="false" ht="15" hidden="false" customHeight="false" outlineLevel="0" collapsed="false">
      <c r="A56" s="42"/>
      <c r="B56" s="42"/>
      <c r="C56" s="42"/>
      <c r="D56" s="42"/>
      <c r="E56" s="42"/>
      <c r="F56" s="43"/>
      <c r="G56" s="41"/>
      <c r="H56" s="41"/>
      <c r="I56" s="42"/>
      <c r="J56" s="42"/>
    </row>
    <row r="57" customFormat="false" ht="15" hidden="false" customHeight="false" outlineLevel="0" collapsed="false">
      <c r="A57" s="42"/>
      <c r="B57" s="42"/>
      <c r="C57" s="42"/>
      <c r="D57" s="42"/>
      <c r="E57" s="42"/>
      <c r="F57" s="43"/>
      <c r="G57" s="41"/>
      <c r="H57" s="41"/>
      <c r="I57" s="42"/>
      <c r="J57" s="42"/>
    </row>
    <row r="58" customFormat="false" ht="15" hidden="false" customHeight="false" outlineLevel="0" collapsed="false">
      <c r="A58" s="42"/>
      <c r="B58" s="42"/>
      <c r="C58" s="42"/>
      <c r="D58" s="42"/>
      <c r="E58" s="42"/>
      <c r="F58" s="43"/>
      <c r="G58" s="41"/>
      <c r="H58" s="41"/>
      <c r="I58" s="42"/>
      <c r="J58" s="42"/>
    </row>
    <row r="59" customFormat="false" ht="15" hidden="false" customHeight="false" outlineLevel="0" collapsed="false">
      <c r="A59" s="42"/>
      <c r="B59" s="42"/>
      <c r="C59" s="42"/>
      <c r="D59" s="42"/>
      <c r="E59" s="42"/>
      <c r="F59" s="43"/>
      <c r="G59" s="41"/>
      <c r="H59" s="41"/>
      <c r="I59" s="42"/>
      <c r="J59" s="42"/>
    </row>
    <row r="60" customFormat="false" ht="15" hidden="false" customHeight="false" outlineLevel="0" collapsed="false">
      <c r="A60" s="42"/>
      <c r="B60" s="42"/>
      <c r="C60" s="42"/>
      <c r="D60" s="42"/>
      <c r="E60" s="42"/>
      <c r="F60" s="43"/>
      <c r="G60" s="41"/>
      <c r="H60" s="41"/>
      <c r="I60" s="42"/>
      <c r="J60" s="42"/>
    </row>
    <row r="61" customFormat="false" ht="15" hidden="false" customHeight="false" outlineLevel="0" collapsed="false">
      <c r="A61" s="42"/>
      <c r="B61" s="42"/>
      <c r="C61" s="42"/>
      <c r="D61" s="42"/>
      <c r="E61" s="42"/>
      <c r="F61" s="43"/>
      <c r="G61" s="41"/>
      <c r="H61" s="41"/>
      <c r="I61" s="42"/>
      <c r="J61" s="42"/>
    </row>
    <row r="62" customFormat="false" ht="15" hidden="false" customHeight="false" outlineLevel="0" collapsed="false">
      <c r="A62" s="42"/>
      <c r="B62" s="42"/>
      <c r="C62" s="42"/>
      <c r="D62" s="42"/>
      <c r="E62" s="42"/>
      <c r="F62" s="43"/>
      <c r="G62" s="41"/>
      <c r="H62" s="41"/>
      <c r="I62" s="42"/>
      <c r="J62" s="42"/>
    </row>
    <row r="63" customFormat="false" ht="15" hidden="false" customHeight="false" outlineLevel="0" collapsed="false">
      <c r="A63" s="42"/>
      <c r="B63" s="42"/>
      <c r="C63" s="42"/>
      <c r="D63" s="42"/>
      <c r="E63" s="42"/>
      <c r="F63" s="43"/>
      <c r="G63" s="41"/>
      <c r="H63" s="41"/>
      <c r="I63" s="42"/>
      <c r="J63" s="42"/>
    </row>
    <row r="64" customFormat="false" ht="15" hidden="false" customHeight="false" outlineLevel="0" collapsed="false">
      <c r="A64" s="42"/>
      <c r="B64" s="42"/>
      <c r="C64" s="42"/>
      <c r="D64" s="42"/>
      <c r="E64" s="42"/>
      <c r="F64" s="43"/>
      <c r="G64" s="41"/>
      <c r="H64" s="41"/>
      <c r="I64" s="42"/>
      <c r="J64" s="42"/>
    </row>
    <row r="65" customFormat="false" ht="15" hidden="false" customHeight="false" outlineLevel="0" collapsed="false">
      <c r="A65" s="42"/>
      <c r="B65" s="42"/>
      <c r="C65" s="42"/>
      <c r="D65" s="42"/>
      <c r="E65" s="42"/>
      <c r="F65" s="43"/>
      <c r="G65" s="41"/>
      <c r="H65" s="41"/>
      <c r="I65" s="42"/>
      <c r="J65" s="42"/>
    </row>
    <row r="66" customFormat="false" ht="15" hidden="false" customHeight="false" outlineLevel="0" collapsed="false">
      <c r="A66" s="42"/>
      <c r="B66" s="42"/>
      <c r="C66" s="42"/>
      <c r="D66" s="42"/>
      <c r="E66" s="42"/>
      <c r="F66" s="43"/>
      <c r="G66" s="41"/>
      <c r="H66" s="41"/>
      <c r="I66" s="42"/>
      <c r="J66" s="42"/>
    </row>
    <row r="67" customFormat="false" ht="15" hidden="false" customHeight="false" outlineLevel="0" collapsed="false">
      <c r="A67" s="42"/>
      <c r="B67" s="42"/>
      <c r="C67" s="42"/>
      <c r="D67" s="42"/>
      <c r="E67" s="42"/>
      <c r="F67" s="43"/>
      <c r="G67" s="41"/>
      <c r="H67" s="41"/>
      <c r="I67" s="42"/>
      <c r="J67" s="42"/>
    </row>
    <row r="68" customFormat="false" ht="15" hidden="false" customHeight="false" outlineLevel="0" collapsed="false">
      <c r="A68" s="42"/>
      <c r="B68" s="42"/>
      <c r="C68" s="42"/>
      <c r="D68" s="42"/>
      <c r="E68" s="42"/>
      <c r="F68" s="43"/>
      <c r="G68" s="41"/>
      <c r="H68" s="41"/>
      <c r="I68" s="42"/>
      <c r="J68" s="42"/>
    </row>
    <row r="69" customFormat="false" ht="15" hidden="false" customHeight="false" outlineLevel="0" collapsed="false">
      <c r="A69" s="42"/>
      <c r="B69" s="42"/>
      <c r="C69" s="42"/>
      <c r="D69" s="42"/>
      <c r="E69" s="42"/>
      <c r="F69" s="43"/>
      <c r="G69" s="41"/>
      <c r="H69" s="41"/>
      <c r="I69" s="42"/>
      <c r="J69" s="42"/>
    </row>
    <row r="70" customFormat="false" ht="15" hidden="false" customHeight="false" outlineLevel="0" collapsed="false">
      <c r="A70" s="42"/>
      <c r="B70" s="42"/>
      <c r="C70" s="42"/>
      <c r="D70" s="42"/>
      <c r="E70" s="42"/>
      <c r="F70" s="43"/>
      <c r="G70" s="41"/>
      <c r="H70" s="41"/>
      <c r="I70" s="42"/>
      <c r="J70" s="42"/>
    </row>
    <row r="71" customFormat="false" ht="15" hidden="false" customHeight="false" outlineLevel="0" collapsed="false">
      <c r="A71" s="42"/>
      <c r="B71" s="42"/>
      <c r="C71" s="42"/>
      <c r="D71" s="42"/>
      <c r="E71" s="42"/>
      <c r="F71" s="43"/>
      <c r="G71" s="41"/>
      <c r="H71" s="41"/>
      <c r="I71" s="42"/>
      <c r="J71" s="42"/>
    </row>
    <row r="72" customFormat="false" ht="15" hidden="false" customHeight="false" outlineLevel="0" collapsed="false">
      <c r="A72" s="42"/>
      <c r="B72" s="42"/>
      <c r="C72" s="42"/>
      <c r="D72" s="42"/>
      <c r="E72" s="42"/>
      <c r="F72" s="43"/>
      <c r="G72" s="41"/>
      <c r="H72" s="41"/>
      <c r="I72" s="42"/>
      <c r="J72" s="42"/>
    </row>
    <row r="73" customFormat="false" ht="15" hidden="false" customHeight="false" outlineLevel="0" collapsed="false">
      <c r="A73" s="42"/>
      <c r="B73" s="42"/>
      <c r="C73" s="42"/>
      <c r="D73" s="42"/>
      <c r="E73" s="42"/>
      <c r="F73" s="43"/>
      <c r="G73" s="41"/>
      <c r="H73" s="41"/>
      <c r="I73" s="42"/>
      <c r="J73" s="42"/>
    </row>
    <row r="74" customFormat="false" ht="15" hidden="false" customHeight="false" outlineLevel="0" collapsed="false">
      <c r="A74" s="42"/>
      <c r="B74" s="42"/>
      <c r="C74" s="42"/>
      <c r="D74" s="42"/>
      <c r="E74" s="42"/>
      <c r="F74" s="43"/>
      <c r="G74" s="41"/>
      <c r="H74" s="41"/>
      <c r="I74" s="42"/>
      <c r="J74" s="42"/>
    </row>
    <row r="75" customFormat="false" ht="15" hidden="false" customHeight="false" outlineLevel="0" collapsed="false">
      <c r="A75" s="42"/>
      <c r="B75" s="42"/>
      <c r="C75" s="42"/>
      <c r="D75" s="42"/>
      <c r="E75" s="42"/>
      <c r="F75" s="43"/>
      <c r="G75" s="41"/>
      <c r="H75" s="41"/>
      <c r="I75" s="42"/>
      <c r="J75" s="42"/>
    </row>
    <row r="76" customFormat="false" ht="15" hidden="false" customHeight="false" outlineLevel="0" collapsed="false">
      <c r="A76" s="42"/>
      <c r="B76" s="42"/>
      <c r="C76" s="42"/>
      <c r="D76" s="42"/>
      <c r="E76" s="42"/>
      <c r="F76" s="43"/>
      <c r="G76" s="41"/>
      <c r="H76" s="41"/>
      <c r="I76" s="42"/>
      <c r="J76" s="42"/>
    </row>
    <row r="77" customFormat="false" ht="15" hidden="false" customHeight="false" outlineLevel="0" collapsed="false">
      <c r="A77" s="42"/>
      <c r="B77" s="42"/>
      <c r="C77" s="42"/>
      <c r="D77" s="42"/>
      <c r="E77" s="42"/>
      <c r="F77" s="43"/>
      <c r="G77" s="41"/>
      <c r="H77" s="41"/>
      <c r="I77" s="42"/>
      <c r="J77" s="42"/>
    </row>
    <row r="78" customFormat="false" ht="15" hidden="false" customHeight="false" outlineLevel="0" collapsed="false">
      <c r="A78" s="42"/>
      <c r="B78" s="42"/>
      <c r="C78" s="42"/>
      <c r="D78" s="42"/>
      <c r="E78" s="42"/>
      <c r="F78" s="43"/>
      <c r="G78" s="41"/>
      <c r="H78" s="41"/>
      <c r="I78" s="42"/>
      <c r="J78" s="42"/>
    </row>
    <row r="79" customFormat="false" ht="15" hidden="false" customHeight="false" outlineLevel="0" collapsed="false">
      <c r="A79" s="42"/>
      <c r="B79" s="42"/>
      <c r="C79" s="42"/>
      <c r="D79" s="42"/>
      <c r="E79" s="42"/>
      <c r="F79" s="43"/>
      <c r="G79" s="41"/>
      <c r="H79" s="41"/>
      <c r="I79" s="42"/>
      <c r="J79" s="42"/>
    </row>
    <row r="80" customFormat="false" ht="15" hidden="false" customHeight="false" outlineLevel="0" collapsed="false">
      <c r="A80" s="42"/>
      <c r="B80" s="42"/>
      <c r="C80" s="42"/>
      <c r="D80" s="42"/>
      <c r="E80" s="42"/>
      <c r="F80" s="43"/>
      <c r="G80" s="41"/>
      <c r="H80" s="41"/>
      <c r="I80" s="42"/>
      <c r="J80" s="42"/>
    </row>
    <row r="81" customFormat="false" ht="15" hidden="false" customHeight="false" outlineLevel="0" collapsed="false">
      <c r="A81" s="42"/>
      <c r="B81" s="42"/>
      <c r="C81" s="42"/>
      <c r="D81" s="42"/>
      <c r="E81" s="42"/>
      <c r="F81" s="43"/>
      <c r="G81" s="41"/>
      <c r="H81" s="41"/>
      <c r="I81" s="42"/>
      <c r="J81" s="42"/>
    </row>
    <row r="82" customFormat="false" ht="15" hidden="false" customHeight="false" outlineLevel="0" collapsed="false">
      <c r="A82" s="42"/>
      <c r="B82" s="42"/>
      <c r="C82" s="42"/>
      <c r="D82" s="42"/>
      <c r="E82" s="42"/>
      <c r="F82" s="43"/>
      <c r="G82" s="41"/>
      <c r="H82" s="41"/>
      <c r="I82" s="42"/>
      <c r="J82" s="42"/>
    </row>
    <row r="83" customFormat="false" ht="15" hidden="false" customHeight="false" outlineLevel="0" collapsed="false">
      <c r="A83" s="42"/>
      <c r="B83" s="42"/>
      <c r="C83" s="42"/>
      <c r="D83" s="42"/>
      <c r="E83" s="42"/>
      <c r="F83" s="43"/>
      <c r="G83" s="41"/>
      <c r="H83" s="41"/>
      <c r="I83" s="42"/>
      <c r="J83" s="42"/>
    </row>
    <row r="84" customFormat="false" ht="15" hidden="false" customHeight="false" outlineLevel="0" collapsed="false">
      <c r="A84" s="42"/>
      <c r="B84" s="42"/>
      <c r="C84" s="42"/>
      <c r="D84" s="42"/>
      <c r="E84" s="42"/>
      <c r="F84" s="43"/>
      <c r="G84" s="41"/>
      <c r="H84" s="41"/>
      <c r="I84" s="42"/>
      <c r="J84" s="42"/>
    </row>
    <row r="85" customFormat="false" ht="15" hidden="false" customHeight="false" outlineLevel="0" collapsed="false">
      <c r="A85" s="42"/>
      <c r="B85" s="42"/>
      <c r="C85" s="42"/>
      <c r="D85" s="42"/>
      <c r="E85" s="42"/>
      <c r="F85" s="43"/>
      <c r="G85" s="41"/>
      <c r="H85" s="41"/>
      <c r="I85" s="42"/>
      <c r="J85" s="42"/>
    </row>
    <row r="86" customFormat="false" ht="15" hidden="false" customHeight="false" outlineLevel="0" collapsed="false">
      <c r="A86" s="42"/>
      <c r="B86" s="42"/>
      <c r="C86" s="42"/>
      <c r="D86" s="42"/>
      <c r="E86" s="42"/>
      <c r="F86" s="43"/>
      <c r="G86" s="41"/>
      <c r="H86" s="41"/>
      <c r="I86" s="42"/>
      <c r="J86" s="42"/>
    </row>
    <row r="87" customFormat="false" ht="15" hidden="false" customHeight="false" outlineLevel="0" collapsed="false">
      <c r="A87" s="42"/>
      <c r="B87" s="42"/>
      <c r="C87" s="42"/>
      <c r="D87" s="42"/>
      <c r="E87" s="42"/>
      <c r="F87" s="43"/>
      <c r="G87" s="41"/>
      <c r="H87" s="41"/>
      <c r="I87" s="42"/>
      <c r="J87" s="42"/>
    </row>
    <row r="88" customFormat="false" ht="15" hidden="false" customHeight="false" outlineLevel="0" collapsed="false">
      <c r="A88" s="42"/>
      <c r="B88" s="42"/>
      <c r="C88" s="42"/>
      <c r="D88" s="42"/>
      <c r="E88" s="42"/>
      <c r="F88" s="43"/>
      <c r="G88" s="41"/>
      <c r="H88" s="41"/>
      <c r="I88" s="42"/>
      <c r="J88" s="42"/>
    </row>
    <row r="89" customFormat="false" ht="15" hidden="false" customHeight="false" outlineLevel="0" collapsed="false">
      <c r="A89" s="42"/>
      <c r="B89" s="42"/>
      <c r="C89" s="42"/>
      <c r="D89" s="42"/>
      <c r="E89" s="42"/>
      <c r="F89" s="43"/>
      <c r="G89" s="41"/>
      <c r="H89" s="41"/>
      <c r="I89" s="42"/>
      <c r="J89" s="42"/>
    </row>
    <row r="90" customFormat="false" ht="15" hidden="false" customHeight="false" outlineLevel="0" collapsed="false">
      <c r="A90" s="42"/>
      <c r="B90" s="42"/>
      <c r="C90" s="42"/>
      <c r="D90" s="42"/>
      <c r="E90" s="42"/>
      <c r="F90" s="43"/>
      <c r="G90" s="41"/>
      <c r="H90" s="41"/>
      <c r="I90" s="42"/>
      <c r="J90" s="42"/>
    </row>
    <row r="91" customFormat="false" ht="15" hidden="false" customHeight="false" outlineLevel="0" collapsed="false">
      <c r="A91" s="42"/>
      <c r="B91" s="42"/>
      <c r="C91" s="42"/>
      <c r="D91" s="42"/>
      <c r="E91" s="42"/>
      <c r="F91" s="43"/>
      <c r="G91" s="41"/>
      <c r="H91" s="41"/>
      <c r="I91" s="42"/>
      <c r="J91" s="42"/>
    </row>
    <row r="92" customFormat="false" ht="15" hidden="false" customHeight="false" outlineLevel="0" collapsed="false">
      <c r="A92" s="42"/>
      <c r="B92" s="42"/>
      <c r="C92" s="42"/>
      <c r="D92" s="42"/>
      <c r="E92" s="42"/>
      <c r="F92" s="43"/>
      <c r="G92" s="41"/>
      <c r="H92" s="41"/>
      <c r="I92" s="42"/>
      <c r="J92" s="42"/>
    </row>
    <row r="93" customFormat="false" ht="15" hidden="false" customHeight="false" outlineLevel="0" collapsed="false">
      <c r="A93" s="42"/>
      <c r="B93" s="42"/>
      <c r="C93" s="42"/>
      <c r="D93" s="42"/>
      <c r="E93" s="42"/>
      <c r="F93" s="43"/>
      <c r="G93" s="41"/>
      <c r="H93" s="41"/>
      <c r="I93" s="42"/>
      <c r="J93" s="42"/>
    </row>
    <row r="94" customFormat="false" ht="15" hidden="false" customHeight="false" outlineLevel="0" collapsed="false">
      <c r="A94" s="42"/>
      <c r="B94" s="42"/>
      <c r="C94" s="42"/>
      <c r="D94" s="42"/>
      <c r="E94" s="42"/>
      <c r="F94" s="43"/>
      <c r="G94" s="41"/>
      <c r="H94" s="41"/>
      <c r="I94" s="42"/>
      <c r="J94" s="42"/>
    </row>
    <row r="95" customFormat="false" ht="15" hidden="false" customHeight="false" outlineLevel="0" collapsed="false">
      <c r="A95" s="42"/>
      <c r="B95" s="42"/>
      <c r="C95" s="42"/>
      <c r="D95" s="42"/>
      <c r="E95" s="42"/>
      <c r="F95" s="43"/>
      <c r="G95" s="41"/>
      <c r="H95" s="41"/>
      <c r="I95" s="42"/>
      <c r="J95" s="42"/>
    </row>
    <row r="96" customFormat="false" ht="15" hidden="false" customHeight="false" outlineLevel="0" collapsed="false">
      <c r="A96" s="42"/>
      <c r="B96" s="42"/>
      <c r="C96" s="42"/>
      <c r="D96" s="42"/>
      <c r="E96" s="42"/>
      <c r="F96" s="43"/>
      <c r="G96" s="41"/>
      <c r="H96" s="41"/>
      <c r="I96" s="42"/>
      <c r="J96" s="42"/>
    </row>
    <row r="97" customFormat="false" ht="15" hidden="false" customHeight="false" outlineLevel="0" collapsed="false">
      <c r="A97" s="42"/>
      <c r="B97" s="42"/>
      <c r="C97" s="42"/>
      <c r="D97" s="42"/>
      <c r="E97" s="42"/>
      <c r="F97" s="43"/>
      <c r="G97" s="41"/>
      <c r="H97" s="41"/>
      <c r="I97" s="42"/>
      <c r="J97" s="42"/>
    </row>
    <row r="98" customFormat="false" ht="15" hidden="false" customHeight="false" outlineLevel="0" collapsed="false">
      <c r="A98" s="42"/>
      <c r="B98" s="42"/>
      <c r="C98" s="42"/>
      <c r="D98" s="42"/>
      <c r="E98" s="42"/>
      <c r="F98" s="43"/>
      <c r="G98" s="41"/>
      <c r="H98" s="41"/>
      <c r="I98" s="42"/>
      <c r="J98" s="42"/>
    </row>
    <row r="99" customFormat="false" ht="15" hidden="false" customHeight="false" outlineLevel="0" collapsed="false">
      <c r="A99" s="42"/>
      <c r="B99" s="42"/>
      <c r="C99" s="42"/>
      <c r="D99" s="42"/>
      <c r="E99" s="42"/>
      <c r="F99" s="43"/>
      <c r="G99" s="41"/>
      <c r="H99" s="41"/>
      <c r="I99" s="42"/>
      <c r="J99" s="4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309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2" t="s">
        <v>310</v>
      </c>
      <c r="B4" s="12" t="s">
        <v>311</v>
      </c>
      <c r="C4" s="12" t="s">
        <v>116</v>
      </c>
      <c r="D4" s="12" t="s">
        <v>312</v>
      </c>
      <c r="E4" s="12" t="s">
        <v>313</v>
      </c>
      <c r="F4" s="12" t="s">
        <v>314</v>
      </c>
      <c r="G4" s="12" t="s">
        <v>315</v>
      </c>
      <c r="H4" s="12" t="s">
        <v>316</v>
      </c>
      <c r="I4" s="12" t="s">
        <v>317</v>
      </c>
      <c r="J4" s="12" t="s">
        <v>318</v>
      </c>
    </row>
    <row r="5" customFormat="false" ht="15" hidden="false" customHeight="false" outlineLevel="0" collapsed="false">
      <c r="A5" s="42"/>
      <c r="B5" s="42"/>
      <c r="C5" s="42"/>
      <c r="D5" s="42"/>
      <c r="E5" s="43"/>
      <c r="F5" s="41"/>
      <c r="G5" s="41"/>
      <c r="H5" s="42"/>
      <c r="I5" s="46"/>
      <c r="J5" s="42"/>
    </row>
    <row r="6" customFormat="false" ht="15" hidden="false" customHeight="false" outlineLevel="0" collapsed="false">
      <c r="A6" s="42"/>
      <c r="B6" s="42"/>
      <c r="C6" s="42"/>
      <c r="D6" s="42"/>
      <c r="E6" s="43"/>
      <c r="F6" s="41"/>
      <c r="G6" s="41"/>
      <c r="H6" s="42"/>
      <c r="I6" s="46"/>
      <c r="J6" s="42"/>
    </row>
    <row r="7" customFormat="false" ht="15" hidden="false" customHeight="false" outlineLevel="0" collapsed="false">
      <c r="A7" s="42"/>
      <c r="B7" s="42"/>
      <c r="C7" s="42"/>
      <c r="D7" s="42"/>
      <c r="E7" s="43"/>
      <c r="F7" s="41"/>
      <c r="G7" s="41"/>
      <c r="H7" s="42"/>
      <c r="I7" s="46"/>
      <c r="J7" s="42"/>
    </row>
    <row r="8" customFormat="false" ht="15" hidden="false" customHeight="false" outlineLevel="0" collapsed="false">
      <c r="A8" s="42"/>
      <c r="B8" s="42"/>
      <c r="C8" s="42"/>
      <c r="D8" s="42"/>
      <c r="E8" s="43"/>
      <c r="F8" s="41"/>
      <c r="G8" s="41"/>
      <c r="H8" s="42"/>
      <c r="I8" s="46"/>
      <c r="J8" s="42"/>
    </row>
    <row r="9" customFormat="false" ht="15" hidden="false" customHeight="false" outlineLevel="0" collapsed="false">
      <c r="A9" s="42"/>
      <c r="B9" s="42"/>
      <c r="C9" s="42"/>
      <c r="D9" s="42"/>
      <c r="E9" s="43"/>
      <c r="F9" s="41"/>
      <c r="G9" s="41"/>
      <c r="H9" s="42"/>
      <c r="I9" s="46"/>
      <c r="J9" s="42"/>
    </row>
    <row r="10" customFormat="false" ht="15" hidden="false" customHeight="false" outlineLevel="0" collapsed="false">
      <c r="A10" s="42"/>
      <c r="B10" s="42"/>
      <c r="C10" s="42"/>
      <c r="D10" s="42"/>
      <c r="E10" s="43"/>
      <c r="F10" s="41"/>
      <c r="G10" s="41"/>
      <c r="H10" s="42"/>
      <c r="I10" s="46"/>
      <c r="J10" s="42"/>
    </row>
    <row r="11" customFormat="false" ht="15" hidden="false" customHeight="false" outlineLevel="0" collapsed="false">
      <c r="A11" s="42"/>
      <c r="B11" s="42"/>
      <c r="C11" s="42"/>
      <c r="D11" s="42"/>
      <c r="E11" s="43"/>
      <c r="F11" s="41"/>
      <c r="G11" s="41"/>
      <c r="H11" s="42"/>
      <c r="I11" s="46"/>
      <c r="J11" s="42"/>
    </row>
    <row r="12" customFormat="false" ht="15" hidden="false" customHeight="false" outlineLevel="0" collapsed="false">
      <c r="A12" s="42"/>
      <c r="B12" s="42"/>
      <c r="C12" s="42"/>
      <c r="D12" s="42"/>
      <c r="E12" s="43"/>
      <c r="F12" s="41"/>
      <c r="G12" s="41"/>
      <c r="H12" s="42"/>
      <c r="I12" s="46"/>
      <c r="J12" s="42"/>
    </row>
    <row r="13" customFormat="false" ht="15" hidden="false" customHeight="false" outlineLevel="0" collapsed="false">
      <c r="A13" s="42"/>
      <c r="B13" s="42"/>
      <c r="C13" s="42"/>
      <c r="D13" s="42"/>
      <c r="E13" s="43"/>
      <c r="F13" s="41"/>
      <c r="G13" s="41"/>
      <c r="H13" s="42"/>
      <c r="I13" s="46"/>
      <c r="J13" s="42"/>
    </row>
    <row r="14" customFormat="false" ht="15" hidden="false" customHeight="false" outlineLevel="0" collapsed="false">
      <c r="A14" s="42"/>
      <c r="B14" s="42"/>
      <c r="C14" s="42"/>
      <c r="D14" s="42"/>
      <c r="E14" s="43"/>
      <c r="F14" s="41"/>
      <c r="G14" s="41"/>
      <c r="H14" s="42"/>
      <c r="I14" s="46"/>
      <c r="J14" s="42"/>
    </row>
    <row r="15" customFormat="false" ht="15" hidden="false" customHeight="false" outlineLevel="0" collapsed="false">
      <c r="A15" s="42"/>
      <c r="B15" s="42"/>
      <c r="C15" s="42"/>
      <c r="D15" s="42"/>
      <c r="E15" s="43"/>
      <c r="F15" s="41"/>
      <c r="G15" s="41"/>
      <c r="H15" s="42"/>
      <c r="I15" s="46"/>
      <c r="J15" s="42"/>
    </row>
    <row r="16" customFormat="false" ht="15" hidden="false" customHeight="false" outlineLevel="0" collapsed="false">
      <c r="A16" s="42"/>
      <c r="B16" s="42"/>
      <c r="C16" s="42"/>
      <c r="D16" s="42"/>
      <c r="E16" s="43"/>
      <c r="F16" s="41"/>
      <c r="G16" s="41"/>
      <c r="H16" s="42"/>
      <c r="I16" s="46"/>
      <c r="J16" s="42"/>
    </row>
    <row r="17" customFormat="false" ht="15" hidden="false" customHeight="false" outlineLevel="0" collapsed="false">
      <c r="A17" s="42"/>
      <c r="B17" s="42"/>
      <c r="C17" s="42"/>
      <c r="D17" s="42"/>
      <c r="E17" s="43"/>
      <c r="F17" s="41"/>
      <c r="G17" s="41"/>
      <c r="H17" s="42"/>
      <c r="I17" s="46"/>
      <c r="J17" s="42"/>
    </row>
    <row r="18" customFormat="false" ht="15" hidden="false" customHeight="false" outlineLevel="0" collapsed="false">
      <c r="A18" s="42"/>
      <c r="B18" s="42"/>
      <c r="C18" s="42"/>
      <c r="D18" s="42"/>
      <c r="E18" s="43"/>
      <c r="F18" s="41"/>
      <c r="G18" s="41"/>
      <c r="H18" s="42"/>
      <c r="I18" s="46"/>
      <c r="J18" s="42"/>
    </row>
    <row r="19" customFormat="false" ht="15" hidden="false" customHeight="false" outlineLevel="0" collapsed="false">
      <c r="A19" s="42"/>
      <c r="B19" s="42"/>
      <c r="C19" s="42"/>
      <c r="D19" s="42"/>
      <c r="E19" s="43"/>
      <c r="F19" s="41"/>
      <c r="G19" s="41"/>
      <c r="H19" s="42"/>
      <c r="I19" s="46"/>
      <c r="J19" s="42"/>
    </row>
    <row r="20" customFormat="false" ht="15" hidden="false" customHeight="false" outlineLevel="0" collapsed="false">
      <c r="A20" s="42"/>
      <c r="B20" s="42"/>
      <c r="C20" s="42"/>
      <c r="D20" s="42"/>
      <c r="E20" s="43"/>
      <c r="F20" s="41"/>
      <c r="G20" s="41"/>
      <c r="H20" s="42"/>
      <c r="I20" s="46"/>
      <c r="J20" s="42"/>
    </row>
    <row r="21" customFormat="false" ht="15" hidden="false" customHeight="false" outlineLevel="0" collapsed="false">
      <c r="A21" s="42"/>
      <c r="B21" s="42"/>
      <c r="C21" s="42"/>
      <c r="D21" s="42"/>
      <c r="E21" s="43"/>
      <c r="F21" s="41"/>
      <c r="G21" s="41"/>
      <c r="H21" s="42"/>
      <c r="I21" s="46"/>
      <c r="J21" s="42"/>
    </row>
    <row r="22" customFormat="false" ht="15" hidden="false" customHeight="false" outlineLevel="0" collapsed="false">
      <c r="A22" s="42"/>
      <c r="B22" s="42"/>
      <c r="C22" s="42"/>
      <c r="D22" s="42"/>
      <c r="E22" s="43"/>
      <c r="F22" s="41"/>
      <c r="G22" s="41"/>
      <c r="H22" s="42"/>
      <c r="I22" s="46"/>
      <c r="J22" s="42"/>
    </row>
    <row r="23" customFormat="false" ht="15" hidden="false" customHeight="false" outlineLevel="0" collapsed="false">
      <c r="A23" s="42"/>
      <c r="B23" s="42"/>
      <c r="C23" s="42"/>
      <c r="D23" s="42"/>
      <c r="E23" s="43"/>
      <c r="F23" s="41"/>
      <c r="G23" s="41"/>
      <c r="H23" s="42"/>
      <c r="I23" s="46"/>
      <c r="J23" s="42"/>
    </row>
    <row r="24" customFormat="false" ht="15" hidden="false" customHeight="false" outlineLevel="0" collapsed="false">
      <c r="A24" s="42"/>
      <c r="B24" s="42"/>
      <c r="C24" s="42"/>
      <c r="D24" s="42"/>
      <c r="E24" s="43"/>
      <c r="F24" s="41"/>
      <c r="G24" s="41"/>
      <c r="H24" s="42"/>
      <c r="I24" s="46"/>
      <c r="J24" s="42"/>
    </row>
    <row r="25" customFormat="false" ht="15" hidden="false" customHeight="false" outlineLevel="0" collapsed="false">
      <c r="A25" s="42"/>
      <c r="B25" s="42"/>
      <c r="C25" s="42"/>
      <c r="D25" s="42"/>
      <c r="E25" s="43"/>
      <c r="F25" s="41"/>
      <c r="G25" s="41"/>
      <c r="H25" s="42"/>
      <c r="I25" s="46"/>
      <c r="J25" s="42"/>
    </row>
    <row r="26" customFormat="false" ht="15" hidden="false" customHeight="false" outlineLevel="0" collapsed="false">
      <c r="A26" s="42"/>
      <c r="B26" s="42"/>
      <c r="C26" s="42"/>
      <c r="D26" s="42"/>
      <c r="E26" s="43"/>
      <c r="F26" s="41"/>
      <c r="G26" s="41"/>
      <c r="H26" s="42"/>
      <c r="I26" s="46"/>
      <c r="J26" s="42"/>
    </row>
    <row r="27" customFormat="false" ht="15" hidden="false" customHeight="false" outlineLevel="0" collapsed="false">
      <c r="A27" s="42"/>
      <c r="B27" s="42"/>
      <c r="C27" s="42"/>
      <c r="D27" s="42"/>
      <c r="E27" s="43"/>
      <c r="F27" s="41"/>
      <c r="G27" s="41"/>
      <c r="H27" s="42"/>
      <c r="I27" s="46"/>
      <c r="J27" s="42"/>
    </row>
    <row r="28" customFormat="false" ht="15" hidden="false" customHeight="false" outlineLevel="0" collapsed="false">
      <c r="A28" s="42"/>
      <c r="B28" s="42"/>
      <c r="C28" s="42"/>
      <c r="D28" s="42"/>
      <c r="E28" s="43"/>
      <c r="F28" s="41"/>
      <c r="G28" s="41"/>
      <c r="H28" s="42"/>
      <c r="I28" s="46"/>
      <c r="J28" s="42"/>
    </row>
    <row r="29" customFormat="false" ht="15" hidden="false" customHeight="false" outlineLevel="0" collapsed="false">
      <c r="A29" s="42"/>
      <c r="B29" s="42"/>
      <c r="C29" s="42"/>
      <c r="D29" s="42"/>
      <c r="E29" s="43"/>
      <c r="F29" s="41"/>
      <c r="G29" s="41"/>
      <c r="H29" s="42"/>
      <c r="I29" s="46"/>
      <c r="J29" s="42"/>
    </row>
    <row r="30" customFormat="false" ht="15" hidden="false" customHeight="false" outlineLevel="0" collapsed="false">
      <c r="A30" s="42"/>
      <c r="B30" s="42"/>
      <c r="C30" s="42"/>
      <c r="D30" s="42"/>
      <c r="E30" s="43"/>
      <c r="F30" s="41"/>
      <c r="G30" s="41"/>
      <c r="H30" s="42"/>
      <c r="I30" s="46"/>
      <c r="J30" s="42"/>
    </row>
    <row r="31" customFormat="false" ht="15" hidden="false" customHeight="false" outlineLevel="0" collapsed="false">
      <c r="A31" s="42"/>
      <c r="B31" s="42"/>
      <c r="C31" s="42"/>
      <c r="D31" s="42"/>
      <c r="E31" s="43"/>
      <c r="F31" s="41"/>
      <c r="G31" s="41"/>
      <c r="H31" s="42"/>
      <c r="I31" s="46"/>
      <c r="J31" s="42"/>
    </row>
    <row r="32" customFormat="false" ht="15" hidden="false" customHeight="false" outlineLevel="0" collapsed="false">
      <c r="A32" s="42"/>
      <c r="B32" s="42"/>
      <c r="C32" s="42"/>
      <c r="D32" s="42"/>
      <c r="E32" s="43"/>
      <c r="F32" s="41"/>
      <c r="G32" s="41"/>
      <c r="H32" s="42"/>
      <c r="I32" s="46"/>
      <c r="J32" s="42"/>
    </row>
    <row r="33" customFormat="false" ht="15" hidden="false" customHeight="false" outlineLevel="0" collapsed="false">
      <c r="A33" s="42"/>
      <c r="B33" s="42"/>
      <c r="C33" s="42"/>
      <c r="D33" s="42"/>
      <c r="E33" s="43"/>
      <c r="F33" s="41"/>
      <c r="G33" s="41"/>
      <c r="H33" s="42"/>
      <c r="I33" s="46"/>
      <c r="J33" s="42"/>
    </row>
    <row r="34" customFormat="false" ht="15" hidden="false" customHeight="false" outlineLevel="0" collapsed="false">
      <c r="A34" s="42"/>
      <c r="B34" s="42"/>
      <c r="C34" s="42"/>
      <c r="D34" s="42"/>
      <c r="E34" s="43"/>
      <c r="F34" s="41"/>
      <c r="G34" s="41"/>
      <c r="H34" s="42"/>
      <c r="I34" s="46"/>
      <c r="J34" s="42"/>
    </row>
    <row r="35" customFormat="false" ht="15" hidden="false" customHeight="false" outlineLevel="0" collapsed="false">
      <c r="A35" s="42"/>
      <c r="B35" s="42"/>
      <c r="C35" s="42"/>
      <c r="D35" s="42"/>
      <c r="E35" s="43"/>
      <c r="F35" s="41"/>
      <c r="G35" s="41"/>
      <c r="H35" s="42"/>
      <c r="I35" s="46"/>
      <c r="J35" s="42"/>
    </row>
    <row r="36" customFormat="false" ht="15" hidden="false" customHeight="false" outlineLevel="0" collapsed="false">
      <c r="A36" s="42"/>
      <c r="B36" s="42"/>
      <c r="C36" s="42"/>
      <c r="D36" s="42"/>
      <c r="E36" s="43"/>
      <c r="F36" s="41"/>
      <c r="G36" s="41"/>
      <c r="H36" s="42"/>
      <c r="I36" s="46"/>
      <c r="J36" s="42"/>
    </row>
    <row r="37" customFormat="false" ht="15" hidden="false" customHeight="false" outlineLevel="0" collapsed="false">
      <c r="A37" s="42"/>
      <c r="B37" s="42"/>
      <c r="C37" s="42"/>
      <c r="D37" s="42"/>
      <c r="E37" s="43"/>
      <c r="F37" s="41"/>
      <c r="G37" s="41"/>
      <c r="H37" s="42"/>
      <c r="I37" s="46"/>
      <c r="J37" s="42"/>
    </row>
    <row r="38" customFormat="false" ht="15" hidden="false" customHeight="false" outlineLevel="0" collapsed="false">
      <c r="A38" s="42"/>
      <c r="B38" s="42"/>
      <c r="C38" s="42"/>
      <c r="D38" s="42"/>
      <c r="E38" s="43"/>
      <c r="F38" s="41"/>
      <c r="G38" s="41"/>
      <c r="H38" s="42"/>
      <c r="I38" s="46"/>
      <c r="J38" s="42"/>
    </row>
    <row r="39" customFormat="false" ht="15" hidden="false" customHeight="false" outlineLevel="0" collapsed="false">
      <c r="A39" s="42"/>
      <c r="B39" s="42"/>
      <c r="C39" s="42"/>
      <c r="D39" s="42"/>
      <c r="E39" s="43"/>
      <c r="F39" s="41"/>
      <c r="G39" s="41"/>
      <c r="H39" s="42"/>
      <c r="I39" s="46"/>
      <c r="J39" s="42"/>
    </row>
    <row r="40" customFormat="false" ht="15" hidden="false" customHeight="false" outlineLevel="0" collapsed="false">
      <c r="A40" s="42"/>
      <c r="B40" s="42"/>
      <c r="C40" s="42"/>
      <c r="D40" s="42"/>
      <c r="E40" s="43"/>
      <c r="F40" s="41"/>
      <c r="G40" s="41"/>
      <c r="H40" s="42"/>
      <c r="I40" s="46"/>
      <c r="J40" s="42"/>
    </row>
    <row r="41" customFormat="false" ht="15" hidden="false" customHeight="false" outlineLevel="0" collapsed="false">
      <c r="A41" s="42"/>
      <c r="B41" s="42"/>
      <c r="C41" s="42"/>
      <c r="D41" s="42"/>
      <c r="E41" s="43"/>
      <c r="F41" s="41"/>
      <c r="G41" s="41"/>
      <c r="H41" s="42"/>
      <c r="I41" s="46"/>
      <c r="J41" s="42"/>
    </row>
    <row r="42" customFormat="false" ht="15" hidden="false" customHeight="false" outlineLevel="0" collapsed="false">
      <c r="A42" s="42"/>
      <c r="B42" s="42"/>
      <c r="C42" s="42"/>
      <c r="D42" s="42"/>
      <c r="E42" s="43"/>
      <c r="F42" s="41"/>
      <c r="G42" s="41"/>
      <c r="H42" s="42"/>
      <c r="I42" s="46"/>
      <c r="J42" s="42"/>
    </row>
    <row r="43" customFormat="false" ht="15" hidden="false" customHeight="false" outlineLevel="0" collapsed="false">
      <c r="A43" s="42"/>
      <c r="B43" s="42"/>
      <c r="C43" s="42"/>
      <c r="D43" s="42"/>
      <c r="E43" s="43"/>
      <c r="F43" s="41"/>
      <c r="G43" s="41"/>
      <c r="H43" s="42"/>
      <c r="I43" s="46"/>
      <c r="J43" s="42"/>
    </row>
    <row r="44" customFormat="false" ht="15" hidden="false" customHeight="false" outlineLevel="0" collapsed="false">
      <c r="A44" s="42"/>
      <c r="B44" s="42"/>
      <c r="C44" s="42"/>
      <c r="D44" s="42"/>
      <c r="E44" s="43"/>
      <c r="F44" s="41"/>
      <c r="G44" s="41"/>
      <c r="H44" s="42"/>
      <c r="I44" s="46"/>
      <c r="J44" s="42"/>
    </row>
    <row r="45" customFormat="false" ht="15" hidden="false" customHeight="false" outlineLevel="0" collapsed="false">
      <c r="A45" s="42"/>
      <c r="B45" s="42"/>
      <c r="C45" s="42"/>
      <c r="D45" s="42"/>
      <c r="E45" s="43"/>
      <c r="F45" s="41"/>
      <c r="G45" s="41"/>
      <c r="H45" s="42"/>
      <c r="I45" s="46"/>
      <c r="J45" s="42"/>
    </row>
    <row r="46" customFormat="false" ht="15" hidden="false" customHeight="false" outlineLevel="0" collapsed="false">
      <c r="A46" s="42"/>
      <c r="B46" s="42"/>
      <c r="C46" s="42"/>
      <c r="D46" s="42"/>
      <c r="E46" s="43"/>
      <c r="F46" s="41"/>
      <c r="G46" s="41"/>
      <c r="H46" s="42"/>
      <c r="I46" s="46"/>
      <c r="J46" s="42"/>
    </row>
    <row r="47" customFormat="false" ht="15" hidden="false" customHeight="false" outlineLevel="0" collapsed="false">
      <c r="A47" s="42"/>
      <c r="B47" s="42"/>
      <c r="C47" s="42"/>
      <c r="D47" s="42"/>
      <c r="E47" s="43"/>
      <c r="F47" s="41"/>
      <c r="G47" s="41"/>
      <c r="H47" s="42"/>
      <c r="I47" s="46"/>
      <c r="J47" s="42"/>
    </row>
    <row r="48" customFormat="false" ht="15" hidden="false" customHeight="false" outlineLevel="0" collapsed="false">
      <c r="A48" s="42"/>
      <c r="B48" s="42"/>
      <c r="C48" s="42"/>
      <c r="D48" s="42"/>
      <c r="E48" s="43"/>
      <c r="F48" s="41"/>
      <c r="G48" s="41"/>
      <c r="H48" s="42"/>
      <c r="I48" s="46"/>
      <c r="J48" s="42"/>
    </row>
    <row r="49" customFormat="false" ht="15" hidden="false" customHeight="false" outlineLevel="0" collapsed="false">
      <c r="A49" s="42"/>
      <c r="B49" s="42"/>
      <c r="C49" s="42"/>
      <c r="D49" s="42"/>
      <c r="E49" s="43"/>
      <c r="F49" s="41"/>
      <c r="G49" s="41"/>
      <c r="H49" s="42"/>
      <c r="I49" s="46"/>
      <c r="J49" s="42"/>
    </row>
    <row r="50" customFormat="false" ht="15" hidden="false" customHeight="false" outlineLevel="0" collapsed="false">
      <c r="A50" s="42"/>
      <c r="B50" s="42"/>
      <c r="C50" s="42"/>
      <c r="D50" s="42"/>
      <c r="E50" s="43"/>
      <c r="F50" s="41"/>
      <c r="G50" s="41"/>
      <c r="H50" s="42"/>
      <c r="I50" s="46"/>
      <c r="J50" s="42"/>
    </row>
    <row r="51" customFormat="false" ht="15" hidden="false" customHeight="false" outlineLevel="0" collapsed="false">
      <c r="A51" s="42"/>
      <c r="B51" s="42"/>
      <c r="C51" s="42"/>
      <c r="D51" s="42"/>
      <c r="E51" s="43"/>
      <c r="F51" s="41"/>
      <c r="G51" s="41"/>
      <c r="H51" s="42"/>
      <c r="I51" s="46"/>
      <c r="J51" s="42"/>
    </row>
    <row r="52" customFormat="false" ht="15" hidden="false" customHeight="false" outlineLevel="0" collapsed="false">
      <c r="A52" s="42"/>
      <c r="B52" s="42"/>
      <c r="C52" s="42"/>
      <c r="D52" s="42"/>
      <c r="E52" s="43"/>
      <c r="F52" s="41"/>
      <c r="G52" s="41"/>
      <c r="H52" s="42"/>
      <c r="I52" s="46"/>
      <c r="J52" s="42"/>
    </row>
    <row r="53" customFormat="false" ht="15" hidden="false" customHeight="false" outlineLevel="0" collapsed="false">
      <c r="A53" s="42"/>
      <c r="B53" s="42"/>
      <c r="C53" s="42"/>
      <c r="D53" s="42"/>
      <c r="E53" s="43"/>
      <c r="F53" s="41"/>
      <c r="G53" s="41"/>
      <c r="H53" s="42"/>
      <c r="I53" s="46"/>
      <c r="J53" s="42"/>
    </row>
    <row r="54" customFormat="false" ht="15" hidden="false" customHeight="false" outlineLevel="0" collapsed="false">
      <c r="A54" s="42"/>
      <c r="B54" s="42"/>
      <c r="C54" s="42"/>
      <c r="D54" s="42"/>
      <c r="E54" s="43"/>
      <c r="F54" s="41"/>
      <c r="G54" s="41"/>
      <c r="H54" s="42"/>
      <c r="I54" s="46"/>
      <c r="J54" s="42"/>
    </row>
    <row r="55" customFormat="false" ht="15" hidden="false" customHeight="false" outlineLevel="0" collapsed="false">
      <c r="A55" s="42"/>
      <c r="B55" s="42"/>
      <c r="C55" s="42"/>
      <c r="D55" s="42"/>
      <c r="E55" s="43"/>
      <c r="F55" s="41"/>
      <c r="G55" s="41"/>
      <c r="H55" s="42"/>
      <c r="I55" s="46"/>
      <c r="J55" s="42"/>
    </row>
    <row r="56" customFormat="false" ht="15" hidden="false" customHeight="false" outlineLevel="0" collapsed="false">
      <c r="A56" s="42"/>
      <c r="B56" s="42"/>
      <c r="C56" s="42"/>
      <c r="D56" s="42"/>
      <c r="E56" s="43"/>
      <c r="F56" s="41"/>
      <c r="G56" s="41"/>
      <c r="H56" s="42"/>
      <c r="I56" s="46"/>
      <c r="J56" s="42"/>
    </row>
    <row r="57" customFormat="false" ht="15" hidden="false" customHeight="false" outlineLevel="0" collapsed="false">
      <c r="A57" s="42"/>
      <c r="B57" s="42"/>
      <c r="C57" s="42"/>
      <c r="D57" s="42"/>
      <c r="E57" s="43"/>
      <c r="F57" s="41"/>
      <c r="G57" s="41"/>
      <c r="H57" s="42"/>
      <c r="I57" s="46"/>
      <c r="J57" s="42"/>
    </row>
    <row r="58" customFormat="false" ht="15" hidden="false" customHeight="false" outlineLevel="0" collapsed="false">
      <c r="A58" s="42"/>
      <c r="B58" s="42"/>
      <c r="C58" s="42"/>
      <c r="D58" s="42"/>
      <c r="E58" s="43"/>
      <c r="F58" s="41"/>
      <c r="G58" s="41"/>
      <c r="H58" s="42"/>
      <c r="I58" s="46"/>
      <c r="J58" s="42"/>
    </row>
    <row r="59" customFormat="false" ht="15" hidden="false" customHeight="false" outlineLevel="0" collapsed="false">
      <c r="A59" s="42"/>
      <c r="B59" s="42"/>
      <c r="C59" s="42"/>
      <c r="D59" s="42"/>
      <c r="E59" s="43"/>
      <c r="F59" s="41"/>
      <c r="G59" s="41"/>
      <c r="H59" s="42"/>
      <c r="I59" s="46"/>
      <c r="J59" s="42"/>
    </row>
    <row r="60" customFormat="false" ht="15" hidden="false" customHeight="false" outlineLevel="0" collapsed="false">
      <c r="A60" s="42"/>
      <c r="B60" s="42"/>
      <c r="C60" s="42"/>
      <c r="D60" s="42"/>
      <c r="E60" s="43"/>
      <c r="F60" s="41"/>
      <c r="G60" s="41"/>
      <c r="H60" s="42"/>
      <c r="I60" s="46"/>
      <c r="J60" s="42"/>
    </row>
    <row r="61" customFormat="false" ht="15" hidden="false" customHeight="false" outlineLevel="0" collapsed="false">
      <c r="A61" s="42"/>
      <c r="B61" s="42"/>
      <c r="C61" s="42"/>
      <c r="D61" s="42"/>
      <c r="E61" s="43"/>
      <c r="F61" s="41"/>
      <c r="G61" s="41"/>
      <c r="H61" s="42"/>
      <c r="I61" s="46"/>
      <c r="J61" s="42"/>
    </row>
    <row r="62" customFormat="false" ht="15" hidden="false" customHeight="false" outlineLevel="0" collapsed="false">
      <c r="A62" s="42"/>
      <c r="B62" s="42"/>
      <c r="C62" s="42"/>
      <c r="D62" s="42"/>
      <c r="E62" s="43"/>
      <c r="F62" s="41"/>
      <c r="G62" s="41"/>
      <c r="H62" s="42"/>
      <c r="I62" s="46"/>
      <c r="J62" s="42"/>
    </row>
    <row r="63" customFormat="false" ht="15" hidden="false" customHeight="false" outlineLevel="0" collapsed="false">
      <c r="A63" s="42"/>
      <c r="B63" s="42"/>
      <c r="C63" s="42"/>
      <c r="D63" s="42"/>
      <c r="E63" s="43"/>
      <c r="F63" s="41"/>
      <c r="G63" s="41"/>
      <c r="H63" s="42"/>
      <c r="I63" s="46"/>
      <c r="J63" s="42"/>
    </row>
    <row r="64" customFormat="false" ht="15" hidden="false" customHeight="false" outlineLevel="0" collapsed="false">
      <c r="A64" s="42"/>
      <c r="B64" s="42"/>
      <c r="C64" s="42"/>
      <c r="D64" s="42"/>
      <c r="E64" s="43"/>
      <c r="F64" s="41"/>
      <c r="G64" s="41"/>
      <c r="H64" s="42"/>
      <c r="I64" s="46"/>
      <c r="J64" s="42"/>
    </row>
    <row r="65" customFormat="false" ht="15" hidden="false" customHeight="false" outlineLevel="0" collapsed="false">
      <c r="A65" s="42"/>
      <c r="B65" s="42"/>
      <c r="C65" s="42"/>
      <c r="D65" s="42"/>
      <c r="E65" s="43"/>
      <c r="F65" s="41"/>
      <c r="G65" s="41"/>
      <c r="H65" s="42"/>
      <c r="I65" s="46"/>
      <c r="J65" s="42"/>
    </row>
    <row r="66" customFormat="false" ht="15" hidden="false" customHeight="false" outlineLevel="0" collapsed="false">
      <c r="A66" s="42"/>
      <c r="B66" s="42"/>
      <c r="C66" s="42"/>
      <c r="D66" s="42"/>
      <c r="E66" s="43"/>
      <c r="F66" s="41"/>
      <c r="G66" s="41"/>
      <c r="H66" s="42"/>
      <c r="I66" s="46"/>
      <c r="J66" s="42"/>
    </row>
    <row r="67" customFormat="false" ht="15" hidden="false" customHeight="false" outlineLevel="0" collapsed="false">
      <c r="A67" s="42"/>
      <c r="B67" s="42"/>
      <c r="C67" s="42"/>
      <c r="D67" s="42"/>
      <c r="E67" s="43"/>
      <c r="F67" s="41"/>
      <c r="G67" s="41"/>
      <c r="H67" s="42"/>
      <c r="I67" s="46"/>
      <c r="J67" s="42"/>
    </row>
    <row r="68" customFormat="false" ht="15" hidden="false" customHeight="false" outlineLevel="0" collapsed="false">
      <c r="A68" s="42"/>
      <c r="B68" s="42"/>
      <c r="C68" s="42"/>
      <c r="D68" s="42"/>
      <c r="E68" s="43"/>
      <c r="F68" s="41"/>
      <c r="G68" s="41"/>
      <c r="H68" s="42"/>
      <c r="I68" s="46"/>
      <c r="J68" s="42"/>
    </row>
    <row r="69" customFormat="false" ht="15" hidden="false" customHeight="false" outlineLevel="0" collapsed="false">
      <c r="A69" s="42"/>
      <c r="B69" s="42"/>
      <c r="C69" s="42"/>
      <c r="D69" s="42"/>
      <c r="E69" s="43"/>
      <c r="F69" s="41"/>
      <c r="G69" s="41"/>
      <c r="H69" s="42"/>
      <c r="I69" s="46"/>
      <c r="J69" s="42"/>
    </row>
    <row r="70" customFormat="false" ht="15" hidden="false" customHeight="false" outlineLevel="0" collapsed="false">
      <c r="A70" s="42"/>
      <c r="B70" s="42"/>
      <c r="C70" s="42"/>
      <c r="D70" s="42"/>
      <c r="E70" s="43"/>
      <c r="F70" s="41"/>
      <c r="G70" s="41"/>
      <c r="H70" s="42"/>
      <c r="I70" s="46"/>
      <c r="J70" s="42"/>
    </row>
    <row r="71" customFormat="false" ht="15" hidden="false" customHeight="false" outlineLevel="0" collapsed="false">
      <c r="A71" s="42"/>
      <c r="B71" s="42"/>
      <c r="C71" s="42"/>
      <c r="D71" s="42"/>
      <c r="E71" s="43"/>
      <c r="F71" s="41"/>
      <c r="G71" s="41"/>
      <c r="H71" s="42"/>
      <c r="I71" s="46"/>
      <c r="J71" s="42"/>
    </row>
    <row r="72" customFormat="false" ht="15" hidden="false" customHeight="false" outlineLevel="0" collapsed="false">
      <c r="A72" s="42"/>
      <c r="B72" s="42"/>
      <c r="C72" s="42"/>
      <c r="D72" s="42"/>
      <c r="E72" s="43"/>
      <c r="F72" s="41"/>
      <c r="G72" s="41"/>
      <c r="H72" s="42"/>
      <c r="I72" s="46"/>
      <c r="J72" s="42"/>
    </row>
    <row r="73" customFormat="false" ht="15" hidden="false" customHeight="false" outlineLevel="0" collapsed="false">
      <c r="A73" s="42"/>
      <c r="B73" s="42"/>
      <c r="C73" s="42"/>
      <c r="D73" s="42"/>
      <c r="E73" s="43"/>
      <c r="F73" s="41"/>
      <c r="G73" s="41"/>
      <c r="H73" s="42"/>
      <c r="I73" s="46"/>
      <c r="J73" s="42"/>
    </row>
    <row r="74" customFormat="false" ht="15" hidden="false" customHeight="false" outlineLevel="0" collapsed="false">
      <c r="A74" s="42"/>
      <c r="B74" s="42"/>
      <c r="C74" s="42"/>
      <c r="D74" s="42"/>
      <c r="E74" s="43"/>
      <c r="F74" s="41"/>
      <c r="G74" s="41"/>
      <c r="H74" s="42"/>
      <c r="I74" s="46"/>
      <c r="J74" s="42"/>
    </row>
    <row r="75" customFormat="false" ht="15" hidden="false" customHeight="false" outlineLevel="0" collapsed="false">
      <c r="A75" s="42"/>
      <c r="B75" s="42"/>
      <c r="C75" s="42"/>
      <c r="D75" s="42"/>
      <c r="E75" s="43"/>
      <c r="F75" s="41"/>
      <c r="G75" s="41"/>
      <c r="H75" s="42"/>
      <c r="I75" s="46"/>
      <c r="J75" s="42"/>
    </row>
    <row r="76" customFormat="false" ht="15" hidden="false" customHeight="false" outlineLevel="0" collapsed="false">
      <c r="A76" s="42"/>
      <c r="B76" s="42"/>
      <c r="C76" s="42"/>
      <c r="D76" s="42"/>
      <c r="E76" s="43"/>
      <c r="F76" s="41"/>
      <c r="G76" s="41"/>
      <c r="H76" s="42"/>
      <c r="I76" s="46"/>
      <c r="J76" s="42"/>
    </row>
    <row r="77" customFormat="false" ht="15" hidden="false" customHeight="false" outlineLevel="0" collapsed="false">
      <c r="A77" s="42"/>
      <c r="B77" s="42"/>
      <c r="C77" s="42"/>
      <c r="D77" s="42"/>
      <c r="E77" s="43"/>
      <c r="F77" s="41"/>
      <c r="G77" s="41"/>
      <c r="H77" s="42"/>
      <c r="I77" s="46"/>
      <c r="J77" s="42"/>
    </row>
    <row r="78" customFormat="false" ht="15" hidden="false" customHeight="false" outlineLevel="0" collapsed="false">
      <c r="A78" s="42"/>
      <c r="B78" s="42"/>
      <c r="C78" s="42"/>
      <c r="D78" s="42"/>
      <c r="E78" s="43"/>
      <c r="F78" s="41"/>
      <c r="G78" s="41"/>
      <c r="H78" s="42"/>
      <c r="I78" s="46"/>
      <c r="J78" s="42"/>
    </row>
    <row r="79" customFormat="false" ht="15" hidden="false" customHeight="false" outlineLevel="0" collapsed="false">
      <c r="A79" s="42"/>
      <c r="B79" s="42"/>
      <c r="C79" s="42"/>
      <c r="D79" s="42"/>
      <c r="E79" s="43"/>
      <c r="F79" s="41"/>
      <c r="G79" s="41"/>
      <c r="H79" s="42"/>
      <c r="I79" s="46"/>
      <c r="J79" s="42"/>
    </row>
    <row r="80" customFormat="false" ht="15" hidden="false" customHeight="false" outlineLevel="0" collapsed="false">
      <c r="A80" s="42"/>
      <c r="B80" s="42"/>
      <c r="C80" s="42"/>
      <c r="D80" s="42"/>
      <c r="E80" s="43"/>
      <c r="F80" s="41"/>
      <c r="G80" s="41"/>
      <c r="H80" s="42"/>
      <c r="I80" s="46"/>
      <c r="J80" s="42"/>
    </row>
    <row r="81" customFormat="false" ht="15" hidden="false" customHeight="false" outlineLevel="0" collapsed="false">
      <c r="A81" s="42"/>
      <c r="B81" s="42"/>
      <c r="C81" s="42"/>
      <c r="D81" s="42"/>
      <c r="E81" s="43"/>
      <c r="F81" s="41"/>
      <c r="G81" s="41"/>
      <c r="H81" s="42"/>
      <c r="I81" s="46"/>
      <c r="J81" s="42"/>
    </row>
    <row r="82" customFormat="false" ht="15" hidden="false" customHeight="false" outlineLevel="0" collapsed="false">
      <c r="A82" s="42"/>
      <c r="B82" s="42"/>
      <c r="C82" s="42"/>
      <c r="D82" s="42"/>
      <c r="E82" s="43"/>
      <c r="F82" s="41"/>
      <c r="G82" s="41"/>
      <c r="H82" s="42"/>
      <c r="I82" s="46"/>
      <c r="J82" s="42"/>
    </row>
    <row r="83" customFormat="false" ht="15" hidden="false" customHeight="false" outlineLevel="0" collapsed="false">
      <c r="A83" s="42"/>
      <c r="B83" s="42"/>
      <c r="C83" s="42"/>
      <c r="D83" s="42"/>
      <c r="E83" s="43"/>
      <c r="F83" s="41"/>
      <c r="G83" s="41"/>
      <c r="H83" s="42"/>
      <c r="I83" s="46"/>
      <c r="J83" s="42"/>
    </row>
    <row r="84" customFormat="false" ht="15" hidden="false" customHeight="false" outlineLevel="0" collapsed="false">
      <c r="A84" s="42"/>
      <c r="B84" s="42"/>
      <c r="C84" s="42"/>
      <c r="D84" s="42"/>
      <c r="E84" s="43"/>
      <c r="F84" s="41"/>
      <c r="G84" s="41"/>
      <c r="H84" s="42"/>
      <c r="I84" s="46"/>
      <c r="J84" s="42"/>
    </row>
    <row r="85" customFormat="false" ht="15" hidden="false" customHeight="false" outlineLevel="0" collapsed="false">
      <c r="A85" s="42"/>
      <c r="B85" s="42"/>
      <c r="C85" s="42"/>
      <c r="D85" s="42"/>
      <c r="E85" s="43"/>
      <c r="F85" s="41"/>
      <c r="G85" s="41"/>
      <c r="H85" s="42"/>
      <c r="I85" s="46"/>
      <c r="J85" s="42"/>
    </row>
    <row r="86" customFormat="false" ht="15" hidden="false" customHeight="false" outlineLevel="0" collapsed="false">
      <c r="A86" s="42"/>
      <c r="B86" s="42"/>
      <c r="C86" s="42"/>
      <c r="D86" s="42"/>
      <c r="E86" s="43"/>
      <c r="F86" s="41"/>
      <c r="G86" s="41"/>
      <c r="H86" s="42"/>
      <c r="I86" s="46"/>
      <c r="J86" s="42"/>
    </row>
    <row r="87" customFormat="false" ht="15" hidden="false" customHeight="false" outlineLevel="0" collapsed="false">
      <c r="A87" s="42"/>
      <c r="B87" s="42"/>
      <c r="C87" s="42"/>
      <c r="D87" s="42"/>
      <c r="E87" s="43"/>
      <c r="F87" s="41"/>
      <c r="G87" s="41"/>
      <c r="H87" s="42"/>
      <c r="I87" s="46"/>
      <c r="J87" s="42"/>
    </row>
    <row r="88" customFormat="false" ht="15" hidden="false" customHeight="false" outlineLevel="0" collapsed="false">
      <c r="A88" s="42"/>
      <c r="B88" s="42"/>
      <c r="C88" s="42"/>
      <c r="D88" s="42"/>
      <c r="E88" s="43"/>
      <c r="F88" s="41"/>
      <c r="G88" s="41"/>
      <c r="H88" s="42"/>
      <c r="I88" s="46"/>
      <c r="J88" s="42"/>
    </row>
    <row r="89" customFormat="false" ht="15" hidden="false" customHeight="false" outlineLevel="0" collapsed="false">
      <c r="A89" s="42"/>
      <c r="B89" s="42"/>
      <c r="C89" s="42"/>
      <c r="D89" s="42"/>
      <c r="E89" s="43"/>
      <c r="F89" s="41"/>
      <c r="G89" s="41"/>
      <c r="H89" s="42"/>
      <c r="I89" s="46"/>
      <c r="J89" s="42"/>
    </row>
    <row r="90" customFormat="false" ht="15" hidden="false" customHeight="false" outlineLevel="0" collapsed="false">
      <c r="A90" s="42"/>
      <c r="B90" s="42"/>
      <c r="C90" s="42"/>
      <c r="D90" s="42"/>
      <c r="E90" s="43"/>
      <c r="F90" s="41"/>
      <c r="G90" s="41"/>
      <c r="H90" s="42"/>
      <c r="I90" s="46"/>
      <c r="J90" s="42"/>
    </row>
    <row r="91" customFormat="false" ht="15" hidden="false" customHeight="false" outlineLevel="0" collapsed="false">
      <c r="A91" s="42"/>
      <c r="B91" s="42"/>
      <c r="C91" s="42"/>
      <c r="D91" s="42"/>
      <c r="E91" s="43"/>
      <c r="F91" s="41"/>
      <c r="G91" s="41"/>
      <c r="H91" s="42"/>
      <c r="I91" s="46"/>
      <c r="J91" s="42"/>
    </row>
    <row r="92" customFormat="false" ht="15" hidden="false" customHeight="false" outlineLevel="0" collapsed="false">
      <c r="A92" s="42"/>
      <c r="B92" s="42"/>
      <c r="C92" s="42"/>
      <c r="D92" s="42"/>
      <c r="E92" s="43"/>
      <c r="F92" s="41"/>
      <c r="G92" s="41"/>
      <c r="H92" s="42"/>
      <c r="I92" s="46"/>
      <c r="J92" s="42"/>
    </row>
    <row r="93" customFormat="false" ht="15" hidden="false" customHeight="false" outlineLevel="0" collapsed="false">
      <c r="A93" s="42"/>
      <c r="B93" s="42"/>
      <c r="C93" s="42"/>
      <c r="D93" s="42"/>
      <c r="E93" s="43"/>
      <c r="F93" s="41"/>
      <c r="G93" s="41"/>
      <c r="H93" s="42"/>
      <c r="I93" s="46"/>
      <c r="J93" s="42"/>
    </row>
    <row r="94" customFormat="false" ht="15" hidden="false" customHeight="false" outlineLevel="0" collapsed="false">
      <c r="A94" s="42"/>
      <c r="B94" s="42"/>
      <c r="C94" s="42"/>
      <c r="D94" s="42"/>
      <c r="E94" s="43"/>
      <c r="F94" s="41"/>
      <c r="G94" s="41"/>
      <c r="H94" s="42"/>
      <c r="I94" s="46"/>
      <c r="J94" s="42"/>
    </row>
    <row r="95" customFormat="false" ht="15" hidden="false" customHeight="false" outlineLevel="0" collapsed="false">
      <c r="A95" s="42"/>
      <c r="B95" s="42"/>
      <c r="C95" s="42"/>
      <c r="D95" s="42"/>
      <c r="E95" s="43"/>
      <c r="F95" s="41"/>
      <c r="G95" s="41"/>
      <c r="H95" s="42"/>
      <c r="I95" s="46"/>
      <c r="J95" s="42"/>
    </row>
    <row r="96" customFormat="false" ht="15" hidden="false" customHeight="false" outlineLevel="0" collapsed="false">
      <c r="A96" s="42"/>
      <c r="B96" s="42"/>
      <c r="C96" s="42"/>
      <c r="D96" s="42"/>
      <c r="E96" s="43"/>
      <c r="F96" s="41"/>
      <c r="G96" s="41"/>
      <c r="H96" s="42"/>
      <c r="I96" s="46"/>
      <c r="J96" s="42"/>
    </row>
    <row r="97" customFormat="false" ht="15" hidden="false" customHeight="false" outlineLevel="0" collapsed="false">
      <c r="A97" s="42"/>
      <c r="B97" s="42"/>
      <c r="C97" s="42"/>
      <c r="D97" s="42"/>
      <c r="E97" s="43"/>
      <c r="F97" s="41"/>
      <c r="G97" s="41"/>
      <c r="H97" s="42"/>
      <c r="I97" s="46"/>
      <c r="J97" s="42"/>
    </row>
    <row r="98" customFormat="false" ht="15" hidden="false" customHeight="false" outlineLevel="0" collapsed="false">
      <c r="A98" s="42"/>
      <c r="B98" s="42"/>
      <c r="C98" s="42"/>
      <c r="D98" s="42"/>
      <c r="E98" s="43"/>
      <c r="F98" s="41"/>
      <c r="G98" s="41"/>
      <c r="H98" s="42"/>
      <c r="I98" s="46"/>
      <c r="J98" s="42"/>
    </row>
    <row r="99" customFormat="false" ht="15" hidden="false" customHeight="false" outlineLevel="0" collapsed="false">
      <c r="A99" s="42"/>
      <c r="B99" s="42"/>
      <c r="C99" s="42"/>
      <c r="D99" s="42"/>
      <c r="E99" s="43"/>
      <c r="F99" s="41"/>
      <c r="G99" s="41"/>
      <c r="H99" s="42"/>
      <c r="I99" s="46"/>
      <c r="J99" s="4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EC5"/>
    <pageSetUpPr fitToPage="false"/>
  </sheetPr>
  <dimension ref="A1:H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319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320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2" t="s">
        <v>143</v>
      </c>
      <c r="B4" s="12" t="s">
        <v>321</v>
      </c>
      <c r="C4" s="12" t="s">
        <v>322</v>
      </c>
      <c r="D4" s="12" t="s">
        <v>152</v>
      </c>
      <c r="E4" s="12" t="s">
        <v>323</v>
      </c>
      <c r="F4" s="12" t="s">
        <v>324</v>
      </c>
      <c r="G4" s="12" t="s">
        <v>325</v>
      </c>
      <c r="H4" s="12" t="s">
        <v>155</v>
      </c>
    </row>
    <row r="5" customFormat="false" ht="15" hidden="false" customHeight="false" outlineLevel="0" collapsed="false">
      <c r="A5" s="41"/>
      <c r="B5" s="42"/>
      <c r="C5" s="42"/>
      <c r="D5" s="42"/>
      <c r="E5" s="42"/>
      <c r="F5" s="42"/>
      <c r="G5" s="42"/>
      <c r="H5" s="42"/>
    </row>
    <row r="6" customFormat="false" ht="15" hidden="false" customHeight="false" outlineLevel="0" collapsed="false">
      <c r="A6" s="41"/>
      <c r="B6" s="42"/>
      <c r="C6" s="42"/>
      <c r="D6" s="42"/>
      <c r="E6" s="42"/>
      <c r="F6" s="42"/>
      <c r="G6" s="42"/>
      <c r="H6" s="42"/>
    </row>
    <row r="7" customFormat="false" ht="15" hidden="false" customHeight="false" outlineLevel="0" collapsed="false">
      <c r="A7" s="41"/>
      <c r="B7" s="42"/>
      <c r="C7" s="42"/>
      <c r="D7" s="42"/>
      <c r="E7" s="42"/>
      <c r="F7" s="42"/>
      <c r="G7" s="42"/>
      <c r="H7" s="42"/>
    </row>
    <row r="8" customFormat="false" ht="15" hidden="false" customHeight="false" outlineLevel="0" collapsed="false">
      <c r="A8" s="41"/>
      <c r="B8" s="42"/>
      <c r="C8" s="42"/>
      <c r="D8" s="42"/>
      <c r="E8" s="42"/>
      <c r="F8" s="42"/>
      <c r="G8" s="42"/>
      <c r="H8" s="42"/>
    </row>
    <row r="9" customFormat="false" ht="15" hidden="false" customHeight="false" outlineLevel="0" collapsed="false">
      <c r="A9" s="41"/>
      <c r="B9" s="42"/>
      <c r="C9" s="42"/>
      <c r="D9" s="42"/>
      <c r="E9" s="42"/>
      <c r="F9" s="42"/>
      <c r="G9" s="42"/>
      <c r="H9" s="42"/>
    </row>
    <row r="10" customFormat="false" ht="15" hidden="false" customHeight="false" outlineLevel="0" collapsed="false">
      <c r="A10" s="41"/>
      <c r="B10" s="42"/>
      <c r="C10" s="42"/>
      <c r="D10" s="42"/>
      <c r="E10" s="42"/>
      <c r="F10" s="42"/>
      <c r="G10" s="42"/>
      <c r="H10" s="42"/>
    </row>
    <row r="11" customFormat="false" ht="15" hidden="false" customHeight="false" outlineLevel="0" collapsed="false">
      <c r="A11" s="41"/>
      <c r="B11" s="42"/>
      <c r="C11" s="42"/>
      <c r="D11" s="42"/>
      <c r="E11" s="42"/>
      <c r="F11" s="42"/>
      <c r="G11" s="42"/>
      <c r="H11" s="42"/>
    </row>
    <row r="12" customFormat="false" ht="15" hidden="false" customHeight="false" outlineLevel="0" collapsed="false">
      <c r="A12" s="41"/>
      <c r="B12" s="42"/>
      <c r="C12" s="42"/>
      <c r="D12" s="42"/>
      <c r="E12" s="42"/>
      <c r="F12" s="42"/>
      <c r="G12" s="42"/>
      <c r="H12" s="42"/>
    </row>
    <row r="13" customFormat="false" ht="15" hidden="false" customHeight="false" outlineLevel="0" collapsed="false">
      <c r="A13" s="41"/>
      <c r="B13" s="42"/>
      <c r="C13" s="42"/>
      <c r="D13" s="42"/>
      <c r="E13" s="42"/>
      <c r="F13" s="42"/>
      <c r="G13" s="42"/>
      <c r="H13" s="42"/>
    </row>
    <row r="14" customFormat="false" ht="15" hidden="false" customHeight="false" outlineLevel="0" collapsed="false">
      <c r="A14" s="41"/>
      <c r="B14" s="42"/>
      <c r="C14" s="42"/>
      <c r="D14" s="42"/>
      <c r="E14" s="42"/>
      <c r="F14" s="42"/>
      <c r="G14" s="42"/>
      <c r="H14" s="42"/>
    </row>
    <row r="15" customFormat="false" ht="15" hidden="false" customHeight="false" outlineLevel="0" collapsed="false">
      <c r="A15" s="41"/>
      <c r="B15" s="42"/>
      <c r="C15" s="42"/>
      <c r="D15" s="42"/>
      <c r="E15" s="42"/>
      <c r="F15" s="42"/>
      <c r="G15" s="42"/>
      <c r="H15" s="42"/>
    </row>
    <row r="16" customFormat="false" ht="15" hidden="false" customHeight="false" outlineLevel="0" collapsed="false">
      <c r="A16" s="41"/>
      <c r="B16" s="42"/>
      <c r="C16" s="42"/>
      <c r="D16" s="42"/>
      <c r="E16" s="42"/>
      <c r="F16" s="42"/>
      <c r="G16" s="42"/>
      <c r="H16" s="42"/>
    </row>
    <row r="17" customFormat="false" ht="15" hidden="false" customHeight="false" outlineLevel="0" collapsed="false">
      <c r="A17" s="41"/>
      <c r="B17" s="42"/>
      <c r="C17" s="42"/>
      <c r="D17" s="42"/>
      <c r="E17" s="42"/>
      <c r="F17" s="42"/>
      <c r="G17" s="42"/>
      <c r="H17" s="42"/>
    </row>
    <row r="18" customFormat="false" ht="15" hidden="false" customHeight="false" outlineLevel="0" collapsed="false">
      <c r="A18" s="41"/>
      <c r="B18" s="42"/>
      <c r="C18" s="42"/>
      <c r="D18" s="42"/>
      <c r="E18" s="42"/>
      <c r="F18" s="42"/>
      <c r="G18" s="42"/>
      <c r="H18" s="42"/>
    </row>
    <row r="19" customFormat="false" ht="15" hidden="false" customHeight="false" outlineLevel="0" collapsed="false">
      <c r="A19" s="41"/>
      <c r="B19" s="42"/>
      <c r="C19" s="42"/>
      <c r="D19" s="42"/>
      <c r="E19" s="42"/>
      <c r="F19" s="42"/>
      <c r="G19" s="42"/>
      <c r="H19" s="42"/>
    </row>
    <row r="20" customFormat="false" ht="15" hidden="false" customHeight="false" outlineLevel="0" collapsed="false">
      <c r="A20" s="41"/>
      <c r="B20" s="42"/>
      <c r="C20" s="42"/>
      <c r="D20" s="42"/>
      <c r="E20" s="42"/>
      <c r="F20" s="42"/>
      <c r="G20" s="42"/>
      <c r="H20" s="42"/>
    </row>
    <row r="21" customFormat="false" ht="15" hidden="false" customHeight="false" outlineLevel="0" collapsed="false">
      <c r="A21" s="41"/>
      <c r="B21" s="42"/>
      <c r="C21" s="42"/>
      <c r="D21" s="42"/>
      <c r="E21" s="42"/>
      <c r="F21" s="42"/>
      <c r="G21" s="42"/>
      <c r="H21" s="42"/>
    </row>
    <row r="22" customFormat="false" ht="15" hidden="false" customHeight="false" outlineLevel="0" collapsed="false">
      <c r="A22" s="41"/>
      <c r="B22" s="42"/>
      <c r="C22" s="42"/>
      <c r="D22" s="42"/>
      <c r="E22" s="42"/>
      <c r="F22" s="42"/>
      <c r="G22" s="42"/>
      <c r="H22" s="42"/>
    </row>
    <row r="23" customFormat="false" ht="15" hidden="false" customHeight="false" outlineLevel="0" collapsed="false">
      <c r="A23" s="41"/>
      <c r="B23" s="42"/>
      <c r="C23" s="42"/>
      <c r="D23" s="42"/>
      <c r="E23" s="42"/>
      <c r="F23" s="42"/>
      <c r="G23" s="42"/>
      <c r="H23" s="42"/>
    </row>
    <row r="24" customFormat="false" ht="15" hidden="false" customHeight="false" outlineLevel="0" collapsed="false">
      <c r="A24" s="41"/>
      <c r="B24" s="42"/>
      <c r="C24" s="42"/>
      <c r="D24" s="42"/>
      <c r="E24" s="42"/>
      <c r="F24" s="42"/>
      <c r="G24" s="42"/>
      <c r="H24" s="42"/>
    </row>
    <row r="25" customFormat="false" ht="15" hidden="false" customHeight="false" outlineLevel="0" collapsed="false">
      <c r="A25" s="41"/>
      <c r="B25" s="42"/>
      <c r="C25" s="42"/>
      <c r="D25" s="42"/>
      <c r="E25" s="42"/>
      <c r="F25" s="42"/>
      <c r="G25" s="42"/>
      <c r="H25" s="42"/>
    </row>
    <row r="26" customFormat="false" ht="15" hidden="false" customHeight="false" outlineLevel="0" collapsed="false">
      <c r="A26" s="41"/>
      <c r="B26" s="42"/>
      <c r="C26" s="42"/>
      <c r="D26" s="42"/>
      <c r="E26" s="42"/>
      <c r="F26" s="42"/>
      <c r="G26" s="42"/>
      <c r="H26" s="42"/>
    </row>
    <row r="27" customFormat="false" ht="15" hidden="false" customHeight="false" outlineLevel="0" collapsed="false">
      <c r="A27" s="41"/>
      <c r="B27" s="42"/>
      <c r="C27" s="42"/>
      <c r="D27" s="42"/>
      <c r="E27" s="42"/>
      <c r="F27" s="42"/>
      <c r="G27" s="42"/>
      <c r="H27" s="42"/>
    </row>
    <row r="28" customFormat="false" ht="15" hidden="false" customHeight="false" outlineLevel="0" collapsed="false">
      <c r="A28" s="41"/>
      <c r="B28" s="42"/>
      <c r="C28" s="42"/>
      <c r="D28" s="42"/>
      <c r="E28" s="42"/>
      <c r="F28" s="42"/>
      <c r="G28" s="42"/>
      <c r="H28" s="42"/>
    </row>
    <row r="29" customFormat="false" ht="15" hidden="false" customHeight="false" outlineLevel="0" collapsed="false">
      <c r="A29" s="41"/>
      <c r="B29" s="42"/>
      <c r="C29" s="42"/>
      <c r="D29" s="42"/>
      <c r="E29" s="42"/>
      <c r="F29" s="42"/>
      <c r="G29" s="42"/>
      <c r="H29" s="42"/>
    </row>
    <row r="30" customFormat="false" ht="15" hidden="false" customHeight="false" outlineLevel="0" collapsed="false">
      <c r="A30" s="41"/>
      <c r="B30" s="42"/>
      <c r="C30" s="42"/>
      <c r="D30" s="42"/>
      <c r="E30" s="42"/>
      <c r="F30" s="42"/>
      <c r="G30" s="42"/>
      <c r="H30" s="42"/>
    </row>
    <row r="31" customFormat="false" ht="15" hidden="false" customHeight="false" outlineLevel="0" collapsed="false">
      <c r="A31" s="41"/>
      <c r="B31" s="42"/>
      <c r="C31" s="42"/>
      <c r="D31" s="42"/>
      <c r="E31" s="42"/>
      <c r="F31" s="42"/>
      <c r="G31" s="42"/>
      <c r="H31" s="42"/>
    </row>
    <row r="32" customFormat="false" ht="15" hidden="false" customHeight="false" outlineLevel="0" collapsed="false">
      <c r="A32" s="41"/>
      <c r="B32" s="42"/>
      <c r="C32" s="42"/>
      <c r="D32" s="42"/>
      <c r="E32" s="42"/>
      <c r="F32" s="42"/>
      <c r="G32" s="42"/>
      <c r="H32" s="42"/>
    </row>
    <row r="33" customFormat="false" ht="15" hidden="false" customHeight="false" outlineLevel="0" collapsed="false">
      <c r="A33" s="41"/>
      <c r="B33" s="42"/>
      <c r="C33" s="42"/>
      <c r="D33" s="42"/>
      <c r="E33" s="42"/>
      <c r="F33" s="42"/>
      <c r="G33" s="42"/>
      <c r="H33" s="42"/>
    </row>
    <row r="34" customFormat="false" ht="15" hidden="false" customHeight="false" outlineLevel="0" collapsed="false">
      <c r="A34" s="41"/>
      <c r="B34" s="42"/>
      <c r="C34" s="42"/>
      <c r="D34" s="42"/>
      <c r="E34" s="42"/>
      <c r="F34" s="42"/>
      <c r="G34" s="42"/>
      <c r="H34" s="42"/>
    </row>
    <row r="35" customFormat="false" ht="15" hidden="false" customHeight="false" outlineLevel="0" collapsed="false">
      <c r="A35" s="41"/>
      <c r="B35" s="42"/>
      <c r="C35" s="42"/>
      <c r="D35" s="42"/>
      <c r="E35" s="42"/>
      <c r="F35" s="42"/>
      <c r="G35" s="42"/>
      <c r="H35" s="42"/>
    </row>
    <row r="36" customFormat="false" ht="15" hidden="false" customHeight="false" outlineLevel="0" collapsed="false">
      <c r="A36" s="41"/>
      <c r="B36" s="42"/>
      <c r="C36" s="42"/>
      <c r="D36" s="42"/>
      <c r="E36" s="42"/>
      <c r="F36" s="42"/>
      <c r="G36" s="42"/>
      <c r="H36" s="42"/>
    </row>
    <row r="37" customFormat="false" ht="15" hidden="false" customHeight="false" outlineLevel="0" collapsed="false">
      <c r="A37" s="41"/>
      <c r="B37" s="42"/>
      <c r="C37" s="42"/>
      <c r="D37" s="42"/>
      <c r="E37" s="42"/>
      <c r="F37" s="42"/>
      <c r="G37" s="42"/>
      <c r="H37" s="42"/>
    </row>
    <row r="38" customFormat="false" ht="15" hidden="false" customHeight="false" outlineLevel="0" collapsed="false">
      <c r="A38" s="41"/>
      <c r="B38" s="42"/>
      <c r="C38" s="42"/>
      <c r="D38" s="42"/>
      <c r="E38" s="42"/>
      <c r="F38" s="42"/>
      <c r="G38" s="42"/>
      <c r="H38" s="42"/>
    </row>
    <row r="39" customFormat="false" ht="15" hidden="false" customHeight="false" outlineLevel="0" collapsed="false">
      <c r="A39" s="41"/>
      <c r="B39" s="42"/>
      <c r="C39" s="42"/>
      <c r="D39" s="42"/>
      <c r="E39" s="42"/>
      <c r="F39" s="42"/>
      <c r="G39" s="42"/>
      <c r="H39" s="42"/>
    </row>
    <row r="40" customFormat="false" ht="15" hidden="false" customHeight="false" outlineLevel="0" collapsed="false">
      <c r="A40" s="41"/>
      <c r="B40" s="42"/>
      <c r="C40" s="42"/>
      <c r="D40" s="42"/>
      <c r="E40" s="42"/>
      <c r="F40" s="42"/>
      <c r="G40" s="42"/>
      <c r="H40" s="42"/>
    </row>
    <row r="41" customFormat="false" ht="15" hidden="false" customHeight="false" outlineLevel="0" collapsed="false">
      <c r="A41" s="41"/>
      <c r="B41" s="42"/>
      <c r="C41" s="42"/>
      <c r="D41" s="42"/>
      <c r="E41" s="42"/>
      <c r="F41" s="42"/>
      <c r="G41" s="42"/>
      <c r="H41" s="42"/>
    </row>
    <row r="42" customFormat="false" ht="15" hidden="false" customHeight="false" outlineLevel="0" collapsed="false">
      <c r="A42" s="41"/>
      <c r="B42" s="42"/>
      <c r="C42" s="42"/>
      <c r="D42" s="42"/>
      <c r="E42" s="42"/>
      <c r="F42" s="42"/>
      <c r="G42" s="42"/>
      <c r="H42" s="42"/>
    </row>
    <row r="43" customFormat="false" ht="15" hidden="false" customHeight="false" outlineLevel="0" collapsed="false">
      <c r="A43" s="41"/>
      <c r="B43" s="42"/>
      <c r="C43" s="42"/>
      <c r="D43" s="42"/>
      <c r="E43" s="42"/>
      <c r="F43" s="42"/>
      <c r="G43" s="42"/>
      <c r="H43" s="42"/>
    </row>
    <row r="44" customFormat="false" ht="15" hidden="false" customHeight="false" outlineLevel="0" collapsed="false">
      <c r="A44" s="41"/>
      <c r="B44" s="42"/>
      <c r="C44" s="42"/>
      <c r="D44" s="42"/>
      <c r="E44" s="42"/>
      <c r="F44" s="42"/>
      <c r="G44" s="42"/>
      <c r="H44" s="42"/>
    </row>
    <row r="45" customFormat="false" ht="15" hidden="false" customHeight="false" outlineLevel="0" collapsed="false">
      <c r="A45" s="41"/>
      <c r="B45" s="42"/>
      <c r="C45" s="42"/>
      <c r="D45" s="42"/>
      <c r="E45" s="42"/>
      <c r="F45" s="42"/>
      <c r="G45" s="42"/>
      <c r="H45" s="42"/>
    </row>
    <row r="46" customFormat="false" ht="15" hidden="false" customHeight="false" outlineLevel="0" collapsed="false">
      <c r="A46" s="41"/>
      <c r="B46" s="42"/>
      <c r="C46" s="42"/>
      <c r="D46" s="42"/>
      <c r="E46" s="42"/>
      <c r="F46" s="42"/>
      <c r="G46" s="42"/>
      <c r="H46" s="42"/>
    </row>
    <row r="47" customFormat="false" ht="15" hidden="false" customHeight="false" outlineLevel="0" collapsed="false">
      <c r="A47" s="41"/>
      <c r="B47" s="42"/>
      <c r="C47" s="42"/>
      <c r="D47" s="42"/>
      <c r="E47" s="42"/>
      <c r="F47" s="42"/>
      <c r="G47" s="42"/>
      <c r="H47" s="42"/>
    </row>
    <row r="48" customFormat="false" ht="15" hidden="false" customHeight="false" outlineLevel="0" collapsed="false">
      <c r="A48" s="41"/>
      <c r="B48" s="42"/>
      <c r="C48" s="42"/>
      <c r="D48" s="42"/>
      <c r="E48" s="42"/>
      <c r="F48" s="42"/>
      <c r="G48" s="42"/>
      <c r="H48" s="42"/>
    </row>
    <row r="49" customFormat="false" ht="15" hidden="false" customHeight="false" outlineLevel="0" collapsed="false">
      <c r="A49" s="41"/>
      <c r="B49" s="42"/>
      <c r="C49" s="42"/>
      <c r="D49" s="42"/>
      <c r="E49" s="42"/>
      <c r="F49" s="42"/>
      <c r="G49" s="42"/>
      <c r="H49" s="42"/>
    </row>
    <row r="50" customFormat="false" ht="15" hidden="false" customHeight="false" outlineLevel="0" collapsed="false">
      <c r="A50" s="41"/>
      <c r="B50" s="42"/>
      <c r="C50" s="42"/>
      <c r="D50" s="42"/>
      <c r="E50" s="42"/>
      <c r="F50" s="42"/>
      <c r="G50" s="42"/>
      <c r="H50" s="42"/>
    </row>
    <row r="51" customFormat="false" ht="15" hidden="false" customHeight="false" outlineLevel="0" collapsed="false">
      <c r="A51" s="41"/>
      <c r="B51" s="42"/>
      <c r="C51" s="42"/>
      <c r="D51" s="42"/>
      <c r="E51" s="42"/>
      <c r="F51" s="42"/>
      <c r="G51" s="42"/>
      <c r="H51" s="42"/>
    </row>
    <row r="52" customFormat="false" ht="15" hidden="false" customHeight="false" outlineLevel="0" collapsed="false">
      <c r="A52" s="41"/>
      <c r="B52" s="42"/>
      <c r="C52" s="42"/>
      <c r="D52" s="42"/>
      <c r="E52" s="42"/>
      <c r="F52" s="42"/>
      <c r="G52" s="42"/>
      <c r="H52" s="42"/>
    </row>
    <row r="53" customFormat="false" ht="15" hidden="false" customHeight="false" outlineLevel="0" collapsed="false">
      <c r="A53" s="41"/>
      <c r="B53" s="42"/>
      <c r="C53" s="42"/>
      <c r="D53" s="42"/>
      <c r="E53" s="42"/>
      <c r="F53" s="42"/>
      <c r="G53" s="42"/>
      <c r="H53" s="42"/>
    </row>
    <row r="54" customFormat="false" ht="15" hidden="false" customHeight="false" outlineLevel="0" collapsed="false">
      <c r="A54" s="41"/>
      <c r="B54" s="42"/>
      <c r="C54" s="42"/>
      <c r="D54" s="42"/>
      <c r="E54" s="42"/>
      <c r="F54" s="42"/>
      <c r="G54" s="42"/>
      <c r="H54" s="42"/>
    </row>
    <row r="55" customFormat="false" ht="15" hidden="false" customHeight="false" outlineLevel="0" collapsed="false">
      <c r="A55" s="41"/>
      <c r="B55" s="42"/>
      <c r="C55" s="42"/>
      <c r="D55" s="42"/>
      <c r="E55" s="42"/>
      <c r="F55" s="42"/>
      <c r="G55" s="42"/>
      <c r="H55" s="42"/>
    </row>
    <row r="56" customFormat="false" ht="15" hidden="false" customHeight="false" outlineLevel="0" collapsed="false">
      <c r="A56" s="41"/>
      <c r="B56" s="42"/>
      <c r="C56" s="42"/>
      <c r="D56" s="42"/>
      <c r="E56" s="42"/>
      <c r="F56" s="42"/>
      <c r="G56" s="42"/>
      <c r="H56" s="42"/>
    </row>
    <row r="57" customFormat="false" ht="15" hidden="false" customHeight="false" outlineLevel="0" collapsed="false">
      <c r="A57" s="41"/>
      <c r="B57" s="42"/>
      <c r="C57" s="42"/>
      <c r="D57" s="42"/>
      <c r="E57" s="42"/>
      <c r="F57" s="42"/>
      <c r="G57" s="42"/>
      <c r="H57" s="42"/>
    </row>
    <row r="58" customFormat="false" ht="15" hidden="false" customHeight="false" outlineLevel="0" collapsed="false">
      <c r="A58" s="41"/>
      <c r="B58" s="42"/>
      <c r="C58" s="42"/>
      <c r="D58" s="42"/>
      <c r="E58" s="42"/>
      <c r="F58" s="42"/>
      <c r="G58" s="42"/>
      <c r="H58" s="42"/>
    </row>
    <row r="59" customFormat="false" ht="15" hidden="false" customHeight="false" outlineLevel="0" collapsed="false">
      <c r="A59" s="41"/>
      <c r="B59" s="42"/>
      <c r="C59" s="42"/>
      <c r="D59" s="42"/>
      <c r="E59" s="42"/>
      <c r="F59" s="42"/>
      <c r="G59" s="42"/>
      <c r="H59" s="42"/>
    </row>
    <row r="60" customFormat="false" ht="15" hidden="false" customHeight="false" outlineLevel="0" collapsed="false">
      <c r="A60" s="41"/>
      <c r="B60" s="42"/>
      <c r="C60" s="42"/>
      <c r="D60" s="42"/>
      <c r="E60" s="42"/>
      <c r="F60" s="42"/>
      <c r="G60" s="42"/>
      <c r="H60" s="42"/>
    </row>
    <row r="61" customFormat="false" ht="15" hidden="false" customHeight="false" outlineLevel="0" collapsed="false">
      <c r="A61" s="41"/>
      <c r="B61" s="42"/>
      <c r="C61" s="42"/>
      <c r="D61" s="42"/>
      <c r="E61" s="42"/>
      <c r="F61" s="42"/>
      <c r="G61" s="42"/>
      <c r="H61" s="42"/>
    </row>
    <row r="62" customFormat="false" ht="15" hidden="false" customHeight="false" outlineLevel="0" collapsed="false">
      <c r="A62" s="41"/>
      <c r="B62" s="42"/>
      <c r="C62" s="42"/>
      <c r="D62" s="42"/>
      <c r="E62" s="42"/>
      <c r="F62" s="42"/>
      <c r="G62" s="42"/>
      <c r="H62" s="42"/>
    </row>
    <row r="63" customFormat="false" ht="15" hidden="false" customHeight="false" outlineLevel="0" collapsed="false">
      <c r="A63" s="41"/>
      <c r="B63" s="42"/>
      <c r="C63" s="42"/>
      <c r="D63" s="42"/>
      <c r="E63" s="42"/>
      <c r="F63" s="42"/>
      <c r="G63" s="42"/>
      <c r="H63" s="42"/>
    </row>
    <row r="64" customFormat="false" ht="15" hidden="false" customHeight="false" outlineLevel="0" collapsed="false">
      <c r="A64" s="41"/>
      <c r="B64" s="42"/>
      <c r="C64" s="42"/>
      <c r="D64" s="42"/>
      <c r="E64" s="42"/>
      <c r="F64" s="42"/>
      <c r="G64" s="42"/>
      <c r="H64" s="42"/>
    </row>
    <row r="65" customFormat="false" ht="15" hidden="false" customHeight="false" outlineLevel="0" collapsed="false">
      <c r="A65" s="41"/>
      <c r="B65" s="42"/>
      <c r="C65" s="42"/>
      <c r="D65" s="42"/>
      <c r="E65" s="42"/>
      <c r="F65" s="42"/>
      <c r="G65" s="42"/>
      <c r="H65" s="42"/>
    </row>
    <row r="66" customFormat="false" ht="15" hidden="false" customHeight="false" outlineLevel="0" collapsed="false">
      <c r="A66" s="41"/>
      <c r="B66" s="42"/>
      <c r="C66" s="42"/>
      <c r="D66" s="42"/>
      <c r="E66" s="42"/>
      <c r="F66" s="42"/>
      <c r="G66" s="42"/>
      <c r="H66" s="42"/>
    </row>
    <row r="67" customFormat="false" ht="15" hidden="false" customHeight="false" outlineLevel="0" collapsed="false">
      <c r="A67" s="41"/>
      <c r="B67" s="42"/>
      <c r="C67" s="42"/>
      <c r="D67" s="42"/>
      <c r="E67" s="42"/>
      <c r="F67" s="42"/>
      <c r="G67" s="42"/>
      <c r="H67" s="42"/>
    </row>
    <row r="68" customFormat="false" ht="15" hidden="false" customHeight="false" outlineLevel="0" collapsed="false">
      <c r="A68" s="41"/>
      <c r="B68" s="42"/>
      <c r="C68" s="42"/>
      <c r="D68" s="42"/>
      <c r="E68" s="42"/>
      <c r="F68" s="42"/>
      <c r="G68" s="42"/>
      <c r="H68" s="42"/>
    </row>
    <row r="69" customFormat="false" ht="15" hidden="false" customHeight="false" outlineLevel="0" collapsed="false">
      <c r="A69" s="41"/>
      <c r="B69" s="42"/>
      <c r="C69" s="42"/>
      <c r="D69" s="42"/>
      <c r="E69" s="42"/>
      <c r="F69" s="42"/>
      <c r="G69" s="42"/>
      <c r="H69" s="42"/>
    </row>
    <row r="70" customFormat="false" ht="15" hidden="false" customHeight="false" outlineLevel="0" collapsed="false">
      <c r="A70" s="41"/>
      <c r="B70" s="42"/>
      <c r="C70" s="42"/>
      <c r="D70" s="42"/>
      <c r="E70" s="42"/>
      <c r="F70" s="42"/>
      <c r="G70" s="42"/>
      <c r="H70" s="42"/>
    </row>
    <row r="71" customFormat="false" ht="15" hidden="false" customHeight="false" outlineLevel="0" collapsed="false">
      <c r="A71" s="41"/>
      <c r="B71" s="42"/>
      <c r="C71" s="42"/>
      <c r="D71" s="42"/>
      <c r="E71" s="42"/>
      <c r="F71" s="42"/>
      <c r="G71" s="42"/>
      <c r="H71" s="42"/>
    </row>
    <row r="72" customFormat="false" ht="15" hidden="false" customHeight="false" outlineLevel="0" collapsed="false">
      <c r="A72" s="41"/>
      <c r="B72" s="42"/>
      <c r="C72" s="42"/>
      <c r="D72" s="42"/>
      <c r="E72" s="42"/>
      <c r="F72" s="42"/>
      <c r="G72" s="42"/>
      <c r="H72" s="42"/>
    </row>
    <row r="73" customFormat="false" ht="15" hidden="false" customHeight="false" outlineLevel="0" collapsed="false">
      <c r="A73" s="41"/>
      <c r="B73" s="42"/>
      <c r="C73" s="42"/>
      <c r="D73" s="42"/>
      <c r="E73" s="42"/>
      <c r="F73" s="42"/>
      <c r="G73" s="42"/>
      <c r="H73" s="42"/>
    </row>
    <row r="74" customFormat="false" ht="15" hidden="false" customHeight="false" outlineLevel="0" collapsed="false">
      <c r="A74" s="41"/>
      <c r="B74" s="42"/>
      <c r="C74" s="42"/>
      <c r="D74" s="42"/>
      <c r="E74" s="42"/>
      <c r="F74" s="42"/>
      <c r="G74" s="42"/>
      <c r="H74" s="42"/>
    </row>
    <row r="75" customFormat="false" ht="15" hidden="false" customHeight="false" outlineLevel="0" collapsed="false">
      <c r="A75" s="41"/>
      <c r="B75" s="42"/>
      <c r="C75" s="42"/>
      <c r="D75" s="42"/>
      <c r="E75" s="42"/>
      <c r="F75" s="42"/>
      <c r="G75" s="42"/>
      <c r="H75" s="42"/>
    </row>
    <row r="76" customFormat="false" ht="15" hidden="false" customHeight="false" outlineLevel="0" collapsed="false">
      <c r="A76" s="41"/>
      <c r="B76" s="42"/>
      <c r="C76" s="42"/>
      <c r="D76" s="42"/>
      <c r="E76" s="42"/>
      <c r="F76" s="42"/>
      <c r="G76" s="42"/>
      <c r="H76" s="42"/>
    </row>
    <row r="77" customFormat="false" ht="15" hidden="false" customHeight="false" outlineLevel="0" collapsed="false">
      <c r="A77" s="41"/>
      <c r="B77" s="42"/>
      <c r="C77" s="42"/>
      <c r="D77" s="42"/>
      <c r="E77" s="42"/>
      <c r="F77" s="42"/>
      <c r="G77" s="42"/>
      <c r="H77" s="42"/>
    </row>
    <row r="78" customFormat="false" ht="15" hidden="false" customHeight="false" outlineLevel="0" collapsed="false">
      <c r="A78" s="41"/>
      <c r="B78" s="42"/>
      <c r="C78" s="42"/>
      <c r="D78" s="42"/>
      <c r="E78" s="42"/>
      <c r="F78" s="42"/>
      <c r="G78" s="42"/>
      <c r="H78" s="42"/>
    </row>
    <row r="79" customFormat="false" ht="15" hidden="false" customHeight="false" outlineLevel="0" collapsed="false">
      <c r="A79" s="41"/>
      <c r="B79" s="42"/>
      <c r="C79" s="42"/>
      <c r="D79" s="42"/>
      <c r="E79" s="42"/>
      <c r="F79" s="42"/>
      <c r="G79" s="42"/>
      <c r="H79" s="42"/>
    </row>
    <row r="80" customFormat="false" ht="15" hidden="false" customHeight="false" outlineLevel="0" collapsed="false">
      <c r="A80" s="41"/>
      <c r="B80" s="42"/>
      <c r="C80" s="42"/>
      <c r="D80" s="42"/>
      <c r="E80" s="42"/>
      <c r="F80" s="42"/>
      <c r="G80" s="42"/>
      <c r="H80" s="42"/>
    </row>
    <row r="81" customFormat="false" ht="15" hidden="false" customHeight="false" outlineLevel="0" collapsed="false">
      <c r="A81" s="41"/>
      <c r="B81" s="42"/>
      <c r="C81" s="42"/>
      <c r="D81" s="42"/>
      <c r="E81" s="42"/>
      <c r="F81" s="42"/>
      <c r="G81" s="42"/>
      <c r="H81" s="42"/>
    </row>
    <row r="82" customFormat="false" ht="15" hidden="false" customHeight="false" outlineLevel="0" collapsed="false">
      <c r="A82" s="41"/>
      <c r="B82" s="42"/>
      <c r="C82" s="42"/>
      <c r="D82" s="42"/>
      <c r="E82" s="42"/>
      <c r="F82" s="42"/>
      <c r="G82" s="42"/>
      <c r="H82" s="42"/>
    </row>
    <row r="83" customFormat="false" ht="15" hidden="false" customHeight="false" outlineLevel="0" collapsed="false">
      <c r="A83" s="41"/>
      <c r="B83" s="42"/>
      <c r="C83" s="42"/>
      <c r="D83" s="42"/>
      <c r="E83" s="42"/>
      <c r="F83" s="42"/>
      <c r="G83" s="42"/>
      <c r="H83" s="42"/>
    </row>
    <row r="84" customFormat="false" ht="15" hidden="false" customHeight="false" outlineLevel="0" collapsed="false">
      <c r="A84" s="41"/>
      <c r="B84" s="42"/>
      <c r="C84" s="42"/>
      <c r="D84" s="42"/>
      <c r="E84" s="42"/>
      <c r="F84" s="42"/>
      <c r="G84" s="42"/>
      <c r="H84" s="42"/>
    </row>
    <row r="85" customFormat="false" ht="15" hidden="false" customHeight="false" outlineLevel="0" collapsed="false">
      <c r="A85" s="41"/>
      <c r="B85" s="42"/>
      <c r="C85" s="42"/>
      <c r="D85" s="42"/>
      <c r="E85" s="42"/>
      <c r="F85" s="42"/>
      <c r="G85" s="42"/>
      <c r="H85" s="42"/>
    </row>
    <row r="86" customFormat="false" ht="15" hidden="false" customHeight="false" outlineLevel="0" collapsed="false">
      <c r="A86" s="41"/>
      <c r="B86" s="42"/>
      <c r="C86" s="42"/>
      <c r="D86" s="42"/>
      <c r="E86" s="42"/>
      <c r="F86" s="42"/>
      <c r="G86" s="42"/>
      <c r="H86" s="42"/>
    </row>
    <row r="87" customFormat="false" ht="15" hidden="false" customHeight="false" outlineLevel="0" collapsed="false">
      <c r="A87" s="41"/>
      <c r="B87" s="42"/>
      <c r="C87" s="42"/>
      <c r="D87" s="42"/>
      <c r="E87" s="42"/>
      <c r="F87" s="42"/>
      <c r="G87" s="42"/>
      <c r="H87" s="42"/>
    </row>
    <row r="88" customFormat="false" ht="15" hidden="false" customHeight="false" outlineLevel="0" collapsed="false">
      <c r="A88" s="41"/>
      <c r="B88" s="42"/>
      <c r="C88" s="42"/>
      <c r="D88" s="42"/>
      <c r="E88" s="42"/>
      <c r="F88" s="42"/>
      <c r="G88" s="42"/>
      <c r="H88" s="42"/>
    </row>
    <row r="89" customFormat="false" ht="15" hidden="false" customHeight="false" outlineLevel="0" collapsed="false">
      <c r="A89" s="41"/>
      <c r="B89" s="42"/>
      <c r="C89" s="42"/>
      <c r="D89" s="42"/>
      <c r="E89" s="42"/>
      <c r="F89" s="42"/>
      <c r="G89" s="42"/>
      <c r="H89" s="42"/>
    </row>
    <row r="90" customFormat="false" ht="15" hidden="false" customHeight="false" outlineLevel="0" collapsed="false">
      <c r="A90" s="41"/>
      <c r="B90" s="42"/>
      <c r="C90" s="42"/>
      <c r="D90" s="42"/>
      <c r="E90" s="42"/>
      <c r="F90" s="42"/>
      <c r="G90" s="42"/>
      <c r="H90" s="42"/>
    </row>
    <row r="91" customFormat="false" ht="15" hidden="false" customHeight="false" outlineLevel="0" collapsed="false">
      <c r="A91" s="41"/>
      <c r="B91" s="42"/>
      <c r="C91" s="42"/>
      <c r="D91" s="42"/>
      <c r="E91" s="42"/>
      <c r="F91" s="42"/>
      <c r="G91" s="42"/>
      <c r="H91" s="42"/>
    </row>
    <row r="92" customFormat="false" ht="15" hidden="false" customHeight="false" outlineLevel="0" collapsed="false">
      <c r="A92" s="41"/>
      <c r="B92" s="42"/>
      <c r="C92" s="42"/>
      <c r="D92" s="42"/>
      <c r="E92" s="42"/>
      <c r="F92" s="42"/>
      <c r="G92" s="42"/>
      <c r="H92" s="42"/>
    </row>
    <row r="93" customFormat="false" ht="15" hidden="false" customHeight="false" outlineLevel="0" collapsed="false">
      <c r="A93" s="41"/>
      <c r="B93" s="42"/>
      <c r="C93" s="42"/>
      <c r="D93" s="42"/>
      <c r="E93" s="42"/>
      <c r="F93" s="42"/>
      <c r="G93" s="42"/>
      <c r="H93" s="42"/>
    </row>
    <row r="94" customFormat="false" ht="15" hidden="false" customHeight="false" outlineLevel="0" collapsed="false">
      <c r="A94" s="41"/>
      <c r="B94" s="42"/>
      <c r="C94" s="42"/>
      <c r="D94" s="42"/>
      <c r="E94" s="42"/>
      <c r="F94" s="42"/>
      <c r="G94" s="42"/>
      <c r="H94" s="42"/>
    </row>
    <row r="95" customFormat="false" ht="15" hidden="false" customHeight="false" outlineLevel="0" collapsed="false">
      <c r="A95" s="41"/>
      <c r="B95" s="42"/>
      <c r="C95" s="42"/>
      <c r="D95" s="42"/>
      <c r="E95" s="42"/>
      <c r="F95" s="42"/>
      <c r="G95" s="42"/>
      <c r="H95" s="42"/>
    </row>
    <row r="96" customFormat="false" ht="15" hidden="false" customHeight="false" outlineLevel="0" collapsed="false">
      <c r="A96" s="41"/>
      <c r="B96" s="42"/>
      <c r="C96" s="42"/>
      <c r="D96" s="42"/>
      <c r="E96" s="42"/>
      <c r="F96" s="42"/>
      <c r="G96" s="42"/>
      <c r="H96" s="42"/>
    </row>
    <row r="97" customFormat="false" ht="15" hidden="false" customHeight="false" outlineLevel="0" collapsed="false">
      <c r="A97" s="41"/>
      <c r="B97" s="42"/>
      <c r="C97" s="42"/>
      <c r="D97" s="42"/>
      <c r="E97" s="42"/>
      <c r="F97" s="42"/>
      <c r="G97" s="42"/>
      <c r="H97" s="42"/>
    </row>
    <row r="98" customFormat="false" ht="15" hidden="false" customHeight="false" outlineLevel="0" collapsed="false">
      <c r="A98" s="41"/>
      <c r="B98" s="42"/>
      <c r="C98" s="42"/>
      <c r="D98" s="42"/>
      <c r="E98" s="42"/>
      <c r="F98" s="42"/>
      <c r="G98" s="42"/>
      <c r="H98" s="42"/>
    </row>
    <row r="99" customFormat="false" ht="15" hidden="false" customHeight="false" outlineLevel="0" collapsed="false">
      <c r="A99" s="41"/>
      <c r="B99" s="42"/>
      <c r="C99" s="42"/>
      <c r="D99" s="42"/>
      <c r="E99" s="42"/>
      <c r="F99" s="42"/>
      <c r="G99" s="42"/>
      <c r="H99" s="42"/>
    </row>
    <row r="100" customFormat="false" ht="15" hidden="false" customHeight="false" outlineLevel="0" collapsed="false">
      <c r="A100" s="41"/>
      <c r="B100" s="42"/>
      <c r="C100" s="42"/>
      <c r="D100" s="42"/>
      <c r="E100" s="42"/>
      <c r="F100" s="42"/>
      <c r="G100" s="42"/>
      <c r="H100" s="42"/>
    </row>
    <row r="101" customFormat="false" ht="15" hidden="false" customHeight="false" outlineLevel="0" collapsed="false">
      <c r="A101" s="41"/>
      <c r="B101" s="42"/>
      <c r="C101" s="42"/>
      <c r="D101" s="42"/>
      <c r="E101" s="42"/>
      <c r="F101" s="42"/>
      <c r="G101" s="42"/>
      <c r="H101" s="42"/>
    </row>
    <row r="102" customFormat="false" ht="15" hidden="false" customHeight="false" outlineLevel="0" collapsed="false">
      <c r="A102" s="41"/>
      <c r="B102" s="42"/>
      <c r="C102" s="42"/>
      <c r="D102" s="42"/>
      <c r="E102" s="42"/>
      <c r="F102" s="42"/>
      <c r="G102" s="42"/>
      <c r="H102" s="42"/>
    </row>
    <row r="103" customFormat="false" ht="15" hidden="false" customHeight="false" outlineLevel="0" collapsed="false">
      <c r="A103" s="41"/>
      <c r="B103" s="42"/>
      <c r="C103" s="42"/>
      <c r="D103" s="42"/>
      <c r="E103" s="42"/>
      <c r="F103" s="42"/>
      <c r="G103" s="42"/>
      <c r="H103" s="42"/>
    </row>
    <row r="104" customFormat="false" ht="15" hidden="false" customHeight="false" outlineLevel="0" collapsed="false">
      <c r="A104" s="41"/>
      <c r="B104" s="42"/>
      <c r="C104" s="42"/>
      <c r="D104" s="42"/>
      <c r="E104" s="42"/>
      <c r="F104" s="42"/>
      <c r="G104" s="42"/>
      <c r="H104" s="42"/>
    </row>
    <row r="105" customFormat="false" ht="15" hidden="false" customHeight="false" outlineLevel="0" collapsed="false">
      <c r="A105" s="41"/>
      <c r="B105" s="42"/>
      <c r="C105" s="42"/>
      <c r="D105" s="42"/>
      <c r="E105" s="42"/>
      <c r="F105" s="42"/>
      <c r="G105" s="42"/>
      <c r="H105" s="42"/>
    </row>
    <row r="106" customFormat="false" ht="15" hidden="false" customHeight="false" outlineLevel="0" collapsed="false">
      <c r="A106" s="41"/>
      <c r="B106" s="42"/>
      <c r="C106" s="42"/>
      <c r="D106" s="42"/>
      <c r="E106" s="42"/>
      <c r="F106" s="42"/>
      <c r="G106" s="42"/>
      <c r="H106" s="42"/>
    </row>
    <row r="107" customFormat="false" ht="15" hidden="false" customHeight="false" outlineLevel="0" collapsed="false">
      <c r="A107" s="41"/>
      <c r="B107" s="42"/>
      <c r="C107" s="42"/>
      <c r="D107" s="42"/>
      <c r="E107" s="42"/>
      <c r="F107" s="42"/>
      <c r="G107" s="42"/>
      <c r="H107" s="42"/>
    </row>
    <row r="108" customFormat="false" ht="15" hidden="false" customHeight="false" outlineLevel="0" collapsed="false">
      <c r="A108" s="41"/>
      <c r="B108" s="42"/>
      <c r="C108" s="42"/>
      <c r="D108" s="42"/>
      <c r="E108" s="42"/>
      <c r="F108" s="42"/>
      <c r="G108" s="42"/>
      <c r="H108" s="42"/>
    </row>
    <row r="109" customFormat="false" ht="15" hidden="false" customHeight="false" outlineLevel="0" collapsed="false">
      <c r="A109" s="41"/>
      <c r="B109" s="42"/>
      <c r="C109" s="42"/>
      <c r="D109" s="42"/>
      <c r="E109" s="42"/>
      <c r="F109" s="42"/>
      <c r="G109" s="42"/>
      <c r="H109" s="42"/>
    </row>
    <row r="110" customFormat="false" ht="15" hidden="false" customHeight="false" outlineLevel="0" collapsed="false">
      <c r="A110" s="41"/>
      <c r="B110" s="42"/>
      <c r="C110" s="42"/>
      <c r="D110" s="42"/>
      <c r="E110" s="42"/>
      <c r="F110" s="42"/>
      <c r="G110" s="42"/>
      <c r="H110" s="42"/>
    </row>
    <row r="111" customFormat="false" ht="15" hidden="false" customHeight="false" outlineLevel="0" collapsed="false">
      <c r="A111" s="41"/>
      <c r="B111" s="42"/>
      <c r="C111" s="42"/>
      <c r="D111" s="42"/>
      <c r="E111" s="42"/>
      <c r="F111" s="42"/>
      <c r="G111" s="42"/>
      <c r="H111" s="42"/>
    </row>
    <row r="112" customFormat="false" ht="15" hidden="false" customHeight="false" outlineLevel="0" collapsed="false">
      <c r="A112" s="41"/>
      <c r="B112" s="42"/>
      <c r="C112" s="42"/>
      <c r="D112" s="42"/>
      <c r="E112" s="42"/>
      <c r="F112" s="42"/>
      <c r="G112" s="42"/>
      <c r="H112" s="42"/>
    </row>
    <row r="113" customFormat="false" ht="15" hidden="false" customHeight="false" outlineLevel="0" collapsed="false">
      <c r="A113" s="41"/>
      <c r="B113" s="42"/>
      <c r="C113" s="42"/>
      <c r="D113" s="42"/>
      <c r="E113" s="42"/>
      <c r="F113" s="42"/>
      <c r="G113" s="42"/>
      <c r="H113" s="42"/>
    </row>
    <row r="114" customFormat="false" ht="15" hidden="false" customHeight="false" outlineLevel="0" collapsed="false">
      <c r="A114" s="41"/>
      <c r="B114" s="42"/>
      <c r="C114" s="42"/>
      <c r="D114" s="42"/>
      <c r="E114" s="42"/>
      <c r="F114" s="42"/>
      <c r="G114" s="42"/>
      <c r="H114" s="42"/>
    </row>
    <row r="115" customFormat="false" ht="15" hidden="false" customHeight="false" outlineLevel="0" collapsed="false">
      <c r="A115" s="41"/>
      <c r="B115" s="42"/>
      <c r="C115" s="42"/>
      <c r="D115" s="42"/>
      <c r="E115" s="42"/>
      <c r="F115" s="42"/>
      <c r="G115" s="42"/>
      <c r="H115" s="42"/>
    </row>
    <row r="116" customFormat="false" ht="15" hidden="false" customHeight="false" outlineLevel="0" collapsed="false">
      <c r="A116" s="41"/>
      <c r="B116" s="42"/>
      <c r="C116" s="42"/>
      <c r="D116" s="42"/>
      <c r="E116" s="42"/>
      <c r="F116" s="42"/>
      <c r="G116" s="42"/>
      <c r="H116" s="42"/>
    </row>
    <row r="117" customFormat="false" ht="15" hidden="false" customHeight="false" outlineLevel="0" collapsed="false">
      <c r="A117" s="41"/>
      <c r="B117" s="42"/>
      <c r="C117" s="42"/>
      <c r="D117" s="42"/>
      <c r="E117" s="42"/>
      <c r="F117" s="42"/>
      <c r="G117" s="42"/>
      <c r="H117" s="42"/>
    </row>
    <row r="118" customFormat="false" ht="15" hidden="false" customHeight="false" outlineLevel="0" collapsed="false">
      <c r="A118" s="41"/>
      <c r="B118" s="42"/>
      <c r="C118" s="42"/>
      <c r="D118" s="42"/>
      <c r="E118" s="42"/>
      <c r="F118" s="42"/>
      <c r="G118" s="42"/>
      <c r="H118" s="42"/>
    </row>
    <row r="119" customFormat="false" ht="15" hidden="false" customHeight="false" outlineLevel="0" collapsed="false">
      <c r="A119" s="41"/>
      <c r="B119" s="42"/>
      <c r="C119" s="42"/>
      <c r="D119" s="42"/>
      <c r="E119" s="42"/>
      <c r="F119" s="42"/>
      <c r="G119" s="42"/>
      <c r="H119" s="42"/>
    </row>
    <row r="120" customFormat="false" ht="15" hidden="false" customHeight="false" outlineLevel="0" collapsed="false">
      <c r="A120" s="41"/>
      <c r="B120" s="42"/>
      <c r="C120" s="42"/>
      <c r="D120" s="42"/>
      <c r="E120" s="42"/>
      <c r="F120" s="42"/>
      <c r="G120" s="42"/>
      <c r="H120" s="42"/>
    </row>
    <row r="121" customFormat="false" ht="15" hidden="false" customHeight="false" outlineLevel="0" collapsed="false">
      <c r="A121" s="41"/>
      <c r="B121" s="42"/>
      <c r="C121" s="42"/>
      <c r="D121" s="42"/>
      <c r="E121" s="42"/>
      <c r="F121" s="42"/>
      <c r="G121" s="42"/>
      <c r="H121" s="42"/>
    </row>
    <row r="122" customFormat="false" ht="15" hidden="false" customHeight="false" outlineLevel="0" collapsed="false">
      <c r="A122" s="41"/>
      <c r="B122" s="42"/>
      <c r="C122" s="42"/>
      <c r="D122" s="42"/>
      <c r="E122" s="42"/>
      <c r="F122" s="42"/>
      <c r="G122" s="42"/>
      <c r="H122" s="42"/>
    </row>
    <row r="123" customFormat="false" ht="15" hidden="false" customHeight="false" outlineLevel="0" collapsed="false">
      <c r="A123" s="41"/>
      <c r="B123" s="42"/>
      <c r="C123" s="42"/>
      <c r="D123" s="42"/>
      <c r="E123" s="42"/>
      <c r="F123" s="42"/>
      <c r="G123" s="42"/>
      <c r="H123" s="42"/>
    </row>
    <row r="124" customFormat="false" ht="15" hidden="false" customHeight="false" outlineLevel="0" collapsed="false">
      <c r="A124" s="41"/>
      <c r="B124" s="42"/>
      <c r="C124" s="42"/>
      <c r="D124" s="42"/>
      <c r="E124" s="42"/>
      <c r="F124" s="42"/>
      <c r="G124" s="42"/>
      <c r="H124" s="42"/>
    </row>
    <row r="125" customFormat="false" ht="15" hidden="false" customHeight="false" outlineLevel="0" collapsed="false">
      <c r="A125" s="41"/>
      <c r="B125" s="42"/>
      <c r="C125" s="42"/>
      <c r="D125" s="42"/>
      <c r="E125" s="42"/>
      <c r="F125" s="42"/>
      <c r="G125" s="42"/>
      <c r="H125" s="42"/>
    </row>
    <row r="126" customFormat="false" ht="15" hidden="false" customHeight="false" outlineLevel="0" collapsed="false">
      <c r="A126" s="41"/>
      <c r="B126" s="42"/>
      <c r="C126" s="42"/>
      <c r="D126" s="42"/>
      <c r="E126" s="42"/>
      <c r="F126" s="42"/>
      <c r="G126" s="42"/>
      <c r="H126" s="42"/>
    </row>
    <row r="127" customFormat="false" ht="15" hidden="false" customHeight="false" outlineLevel="0" collapsed="false">
      <c r="A127" s="41"/>
      <c r="B127" s="42"/>
      <c r="C127" s="42"/>
      <c r="D127" s="42"/>
      <c r="E127" s="42"/>
      <c r="F127" s="42"/>
      <c r="G127" s="42"/>
      <c r="H127" s="42"/>
    </row>
    <row r="128" customFormat="false" ht="15" hidden="false" customHeight="false" outlineLevel="0" collapsed="false">
      <c r="A128" s="41"/>
      <c r="B128" s="42"/>
      <c r="C128" s="42"/>
      <c r="D128" s="42"/>
      <c r="E128" s="42"/>
      <c r="F128" s="42"/>
      <c r="G128" s="42"/>
      <c r="H128" s="42"/>
    </row>
    <row r="129" customFormat="false" ht="15" hidden="false" customHeight="false" outlineLevel="0" collapsed="false">
      <c r="A129" s="41"/>
      <c r="B129" s="42"/>
      <c r="C129" s="42"/>
      <c r="D129" s="42"/>
      <c r="E129" s="42"/>
      <c r="F129" s="42"/>
      <c r="G129" s="42"/>
      <c r="H129" s="42"/>
    </row>
    <row r="130" customFormat="false" ht="15" hidden="false" customHeight="false" outlineLevel="0" collapsed="false">
      <c r="A130" s="41"/>
      <c r="B130" s="42"/>
      <c r="C130" s="42"/>
      <c r="D130" s="42"/>
      <c r="E130" s="42"/>
      <c r="F130" s="42"/>
      <c r="G130" s="42"/>
      <c r="H130" s="42"/>
    </row>
    <row r="131" customFormat="false" ht="15" hidden="false" customHeight="false" outlineLevel="0" collapsed="false">
      <c r="A131" s="41"/>
      <c r="B131" s="42"/>
      <c r="C131" s="42"/>
      <c r="D131" s="42"/>
      <c r="E131" s="42"/>
      <c r="F131" s="42"/>
      <c r="G131" s="42"/>
      <c r="H131" s="42"/>
    </row>
    <row r="132" customFormat="false" ht="15" hidden="false" customHeight="false" outlineLevel="0" collapsed="false">
      <c r="A132" s="41"/>
      <c r="B132" s="42"/>
      <c r="C132" s="42"/>
      <c r="D132" s="42"/>
      <c r="E132" s="42"/>
      <c r="F132" s="42"/>
      <c r="G132" s="42"/>
      <c r="H132" s="42"/>
    </row>
    <row r="133" customFormat="false" ht="15" hidden="false" customHeight="false" outlineLevel="0" collapsed="false">
      <c r="A133" s="41"/>
      <c r="B133" s="42"/>
      <c r="C133" s="42"/>
      <c r="D133" s="42"/>
      <c r="E133" s="42"/>
      <c r="F133" s="42"/>
      <c r="G133" s="42"/>
      <c r="H133" s="42"/>
    </row>
    <row r="134" customFormat="false" ht="15" hidden="false" customHeight="false" outlineLevel="0" collapsed="false">
      <c r="A134" s="41"/>
      <c r="B134" s="42"/>
      <c r="C134" s="42"/>
      <c r="D134" s="42"/>
      <c r="E134" s="42"/>
      <c r="F134" s="42"/>
      <c r="G134" s="42"/>
      <c r="H134" s="42"/>
    </row>
    <row r="135" customFormat="false" ht="15" hidden="false" customHeight="false" outlineLevel="0" collapsed="false">
      <c r="A135" s="41"/>
      <c r="B135" s="42"/>
      <c r="C135" s="42"/>
      <c r="D135" s="42"/>
      <c r="E135" s="42"/>
      <c r="F135" s="42"/>
      <c r="G135" s="42"/>
      <c r="H135" s="42"/>
    </row>
    <row r="136" customFormat="false" ht="15" hidden="false" customHeight="false" outlineLevel="0" collapsed="false">
      <c r="A136" s="41"/>
      <c r="B136" s="42"/>
      <c r="C136" s="42"/>
      <c r="D136" s="42"/>
      <c r="E136" s="42"/>
      <c r="F136" s="42"/>
      <c r="G136" s="42"/>
      <c r="H136" s="42"/>
    </row>
    <row r="137" customFormat="false" ht="15" hidden="false" customHeight="false" outlineLevel="0" collapsed="false">
      <c r="A137" s="41"/>
      <c r="B137" s="42"/>
      <c r="C137" s="42"/>
      <c r="D137" s="42"/>
      <c r="E137" s="42"/>
      <c r="F137" s="42"/>
      <c r="G137" s="42"/>
      <c r="H137" s="42"/>
    </row>
    <row r="138" customFormat="false" ht="15" hidden="false" customHeight="false" outlineLevel="0" collapsed="false">
      <c r="A138" s="41"/>
      <c r="B138" s="42"/>
      <c r="C138" s="42"/>
      <c r="D138" s="42"/>
      <c r="E138" s="42"/>
      <c r="F138" s="42"/>
      <c r="G138" s="42"/>
      <c r="H138" s="42"/>
    </row>
    <row r="139" customFormat="false" ht="15" hidden="false" customHeight="false" outlineLevel="0" collapsed="false">
      <c r="A139" s="41"/>
      <c r="B139" s="42"/>
      <c r="C139" s="42"/>
      <c r="D139" s="42"/>
      <c r="E139" s="42"/>
      <c r="F139" s="42"/>
      <c r="G139" s="42"/>
      <c r="H139" s="42"/>
    </row>
    <row r="140" customFormat="false" ht="15" hidden="false" customHeight="false" outlineLevel="0" collapsed="false">
      <c r="A140" s="41"/>
      <c r="B140" s="42"/>
      <c r="C140" s="42"/>
      <c r="D140" s="42"/>
      <c r="E140" s="42"/>
      <c r="F140" s="42"/>
      <c r="G140" s="42"/>
      <c r="H140" s="42"/>
    </row>
    <row r="141" customFormat="false" ht="15" hidden="false" customHeight="false" outlineLevel="0" collapsed="false">
      <c r="A141" s="41"/>
      <c r="B141" s="42"/>
      <c r="C141" s="42"/>
      <c r="D141" s="42"/>
      <c r="E141" s="42"/>
      <c r="F141" s="42"/>
      <c r="G141" s="42"/>
      <c r="H141" s="42"/>
    </row>
    <row r="142" customFormat="false" ht="15" hidden="false" customHeight="false" outlineLevel="0" collapsed="false">
      <c r="A142" s="41"/>
      <c r="B142" s="42"/>
      <c r="C142" s="42"/>
      <c r="D142" s="42"/>
      <c r="E142" s="42"/>
      <c r="F142" s="42"/>
      <c r="G142" s="42"/>
      <c r="H142" s="42"/>
    </row>
    <row r="143" customFormat="false" ht="15" hidden="false" customHeight="false" outlineLevel="0" collapsed="false">
      <c r="A143" s="41"/>
      <c r="B143" s="42"/>
      <c r="C143" s="42"/>
      <c r="D143" s="42"/>
      <c r="E143" s="42"/>
      <c r="F143" s="42"/>
      <c r="G143" s="42"/>
      <c r="H143" s="42"/>
    </row>
    <row r="144" customFormat="false" ht="15" hidden="false" customHeight="false" outlineLevel="0" collapsed="false">
      <c r="A144" s="41"/>
      <c r="B144" s="42"/>
      <c r="C144" s="42"/>
      <c r="D144" s="42"/>
      <c r="E144" s="42"/>
      <c r="F144" s="42"/>
      <c r="G144" s="42"/>
      <c r="H144" s="42"/>
    </row>
    <row r="145" customFormat="false" ht="15" hidden="false" customHeight="false" outlineLevel="0" collapsed="false">
      <c r="A145" s="41"/>
      <c r="B145" s="42"/>
      <c r="C145" s="42"/>
      <c r="D145" s="42"/>
      <c r="E145" s="42"/>
      <c r="F145" s="42"/>
      <c r="G145" s="42"/>
      <c r="H145" s="42"/>
    </row>
    <row r="146" customFormat="false" ht="15" hidden="false" customHeight="false" outlineLevel="0" collapsed="false">
      <c r="A146" s="41"/>
      <c r="B146" s="42"/>
      <c r="C146" s="42"/>
      <c r="D146" s="42"/>
      <c r="E146" s="42"/>
      <c r="F146" s="42"/>
      <c r="G146" s="42"/>
      <c r="H146" s="42"/>
    </row>
    <row r="147" customFormat="false" ht="15" hidden="false" customHeight="false" outlineLevel="0" collapsed="false">
      <c r="A147" s="41"/>
      <c r="B147" s="42"/>
      <c r="C147" s="42"/>
      <c r="D147" s="42"/>
      <c r="E147" s="42"/>
      <c r="F147" s="42"/>
      <c r="G147" s="42"/>
      <c r="H147" s="42"/>
    </row>
    <row r="148" customFormat="false" ht="15" hidden="false" customHeight="false" outlineLevel="0" collapsed="false">
      <c r="A148" s="41"/>
      <c r="B148" s="42"/>
      <c r="C148" s="42"/>
      <c r="D148" s="42"/>
      <c r="E148" s="42"/>
      <c r="F148" s="42"/>
      <c r="G148" s="42"/>
      <c r="H148" s="42"/>
    </row>
    <row r="149" customFormat="false" ht="15" hidden="false" customHeight="false" outlineLevel="0" collapsed="false">
      <c r="A149" s="41"/>
      <c r="B149" s="42"/>
      <c r="C149" s="42"/>
      <c r="D149" s="42"/>
      <c r="E149" s="42"/>
      <c r="F149" s="42"/>
      <c r="G149" s="42"/>
      <c r="H149" s="42"/>
    </row>
    <row r="150" customFormat="false" ht="15" hidden="false" customHeight="false" outlineLevel="0" collapsed="false">
      <c r="A150" s="41"/>
      <c r="B150" s="42"/>
      <c r="C150" s="42"/>
      <c r="D150" s="42"/>
      <c r="E150" s="42"/>
      <c r="F150" s="42"/>
      <c r="G150" s="42"/>
      <c r="H150" s="42"/>
    </row>
    <row r="151" customFormat="false" ht="15" hidden="false" customHeight="false" outlineLevel="0" collapsed="false">
      <c r="A151" s="41"/>
      <c r="B151" s="42"/>
      <c r="C151" s="42"/>
      <c r="D151" s="42"/>
      <c r="E151" s="42"/>
      <c r="F151" s="42"/>
      <c r="G151" s="42"/>
      <c r="H151" s="42"/>
    </row>
    <row r="152" customFormat="false" ht="15" hidden="false" customHeight="false" outlineLevel="0" collapsed="false">
      <c r="A152" s="41"/>
      <c r="B152" s="42"/>
      <c r="C152" s="42"/>
      <c r="D152" s="42"/>
      <c r="E152" s="42"/>
      <c r="F152" s="42"/>
      <c r="G152" s="42"/>
      <c r="H152" s="42"/>
    </row>
    <row r="153" customFormat="false" ht="15" hidden="false" customHeight="false" outlineLevel="0" collapsed="false">
      <c r="A153" s="41"/>
      <c r="B153" s="42"/>
      <c r="C153" s="42"/>
      <c r="D153" s="42"/>
      <c r="E153" s="42"/>
      <c r="F153" s="42"/>
      <c r="G153" s="42"/>
      <c r="H153" s="42"/>
    </row>
    <row r="154" customFormat="false" ht="15" hidden="false" customHeight="false" outlineLevel="0" collapsed="false">
      <c r="A154" s="41"/>
      <c r="B154" s="42"/>
      <c r="C154" s="42"/>
      <c r="D154" s="42"/>
      <c r="E154" s="42"/>
      <c r="F154" s="42"/>
      <c r="G154" s="42"/>
      <c r="H154" s="42"/>
    </row>
    <row r="155" customFormat="false" ht="15" hidden="false" customHeight="false" outlineLevel="0" collapsed="false">
      <c r="A155" s="41"/>
      <c r="B155" s="42"/>
      <c r="C155" s="42"/>
      <c r="D155" s="42"/>
      <c r="E155" s="42"/>
      <c r="F155" s="42"/>
      <c r="G155" s="42"/>
      <c r="H155" s="42"/>
    </row>
    <row r="156" customFormat="false" ht="15" hidden="false" customHeight="false" outlineLevel="0" collapsed="false">
      <c r="A156" s="41"/>
      <c r="B156" s="42"/>
      <c r="C156" s="42"/>
      <c r="D156" s="42"/>
      <c r="E156" s="42"/>
      <c r="F156" s="42"/>
      <c r="G156" s="42"/>
      <c r="H156" s="42"/>
    </row>
    <row r="157" customFormat="false" ht="15" hidden="false" customHeight="false" outlineLevel="0" collapsed="false">
      <c r="A157" s="41"/>
      <c r="B157" s="42"/>
      <c r="C157" s="42"/>
      <c r="D157" s="42"/>
      <c r="E157" s="42"/>
      <c r="F157" s="42"/>
      <c r="G157" s="42"/>
      <c r="H157" s="42"/>
    </row>
    <row r="158" customFormat="false" ht="15" hidden="false" customHeight="false" outlineLevel="0" collapsed="false">
      <c r="A158" s="41"/>
      <c r="B158" s="42"/>
      <c r="C158" s="42"/>
      <c r="D158" s="42"/>
      <c r="E158" s="42"/>
      <c r="F158" s="42"/>
      <c r="G158" s="42"/>
      <c r="H158" s="42"/>
    </row>
    <row r="159" customFormat="false" ht="15" hidden="false" customHeight="false" outlineLevel="0" collapsed="false">
      <c r="A159" s="41"/>
      <c r="B159" s="42"/>
      <c r="C159" s="42"/>
      <c r="D159" s="42"/>
      <c r="E159" s="42"/>
      <c r="F159" s="42"/>
      <c r="G159" s="42"/>
      <c r="H159" s="42"/>
    </row>
    <row r="160" customFormat="false" ht="15" hidden="false" customHeight="false" outlineLevel="0" collapsed="false">
      <c r="A160" s="41"/>
      <c r="B160" s="42"/>
      <c r="C160" s="42"/>
      <c r="D160" s="42"/>
      <c r="E160" s="42"/>
      <c r="F160" s="42"/>
      <c r="G160" s="42"/>
      <c r="H160" s="42"/>
    </row>
    <row r="161" customFormat="false" ht="15" hidden="false" customHeight="false" outlineLevel="0" collapsed="false">
      <c r="A161" s="41"/>
      <c r="B161" s="42"/>
      <c r="C161" s="42"/>
      <c r="D161" s="42"/>
      <c r="E161" s="42"/>
      <c r="F161" s="42"/>
      <c r="G161" s="42"/>
      <c r="H161" s="42"/>
    </row>
    <row r="162" customFormat="false" ht="15" hidden="false" customHeight="false" outlineLevel="0" collapsed="false">
      <c r="A162" s="41"/>
      <c r="B162" s="42"/>
      <c r="C162" s="42"/>
      <c r="D162" s="42"/>
      <c r="E162" s="42"/>
      <c r="F162" s="42"/>
      <c r="G162" s="42"/>
      <c r="H162" s="42"/>
    </row>
    <row r="163" customFormat="false" ht="15" hidden="false" customHeight="false" outlineLevel="0" collapsed="false">
      <c r="A163" s="41"/>
      <c r="B163" s="42"/>
      <c r="C163" s="42"/>
      <c r="D163" s="42"/>
      <c r="E163" s="42"/>
      <c r="F163" s="42"/>
      <c r="G163" s="42"/>
      <c r="H163" s="42"/>
    </row>
    <row r="164" customFormat="false" ht="15" hidden="false" customHeight="false" outlineLevel="0" collapsed="false">
      <c r="A164" s="41"/>
      <c r="B164" s="42"/>
      <c r="C164" s="42"/>
      <c r="D164" s="42"/>
      <c r="E164" s="42"/>
      <c r="F164" s="42"/>
      <c r="G164" s="42"/>
      <c r="H164" s="42"/>
    </row>
    <row r="165" customFormat="false" ht="15" hidden="false" customHeight="false" outlineLevel="0" collapsed="false">
      <c r="A165" s="41"/>
      <c r="B165" s="42"/>
      <c r="C165" s="42"/>
      <c r="D165" s="42"/>
      <c r="E165" s="42"/>
      <c r="F165" s="42"/>
      <c r="G165" s="42"/>
      <c r="H165" s="42"/>
    </row>
    <row r="166" customFormat="false" ht="15" hidden="false" customHeight="false" outlineLevel="0" collapsed="false">
      <c r="A166" s="41"/>
      <c r="B166" s="42"/>
      <c r="C166" s="42"/>
      <c r="D166" s="42"/>
      <c r="E166" s="42"/>
      <c r="F166" s="42"/>
      <c r="G166" s="42"/>
      <c r="H166" s="42"/>
    </row>
    <row r="167" customFormat="false" ht="15" hidden="false" customHeight="false" outlineLevel="0" collapsed="false">
      <c r="A167" s="41"/>
      <c r="B167" s="42"/>
      <c r="C167" s="42"/>
      <c r="D167" s="42"/>
      <c r="E167" s="42"/>
      <c r="F167" s="42"/>
      <c r="G167" s="42"/>
      <c r="H167" s="42"/>
    </row>
    <row r="168" customFormat="false" ht="15" hidden="false" customHeight="false" outlineLevel="0" collapsed="false">
      <c r="A168" s="41"/>
      <c r="B168" s="42"/>
      <c r="C168" s="42"/>
      <c r="D168" s="42"/>
      <c r="E168" s="42"/>
      <c r="F168" s="42"/>
      <c r="G168" s="42"/>
      <c r="H168" s="42"/>
    </row>
    <row r="169" customFormat="false" ht="15" hidden="false" customHeight="false" outlineLevel="0" collapsed="false">
      <c r="A169" s="41"/>
      <c r="B169" s="42"/>
      <c r="C169" s="42"/>
      <c r="D169" s="42"/>
      <c r="E169" s="42"/>
      <c r="F169" s="42"/>
      <c r="G169" s="42"/>
      <c r="H169" s="42"/>
    </row>
    <row r="170" customFormat="false" ht="15" hidden="false" customHeight="false" outlineLevel="0" collapsed="false">
      <c r="A170" s="41"/>
      <c r="B170" s="42"/>
      <c r="C170" s="42"/>
      <c r="D170" s="42"/>
      <c r="E170" s="42"/>
      <c r="F170" s="42"/>
      <c r="G170" s="42"/>
      <c r="H170" s="42"/>
    </row>
    <row r="171" customFormat="false" ht="15" hidden="false" customHeight="false" outlineLevel="0" collapsed="false">
      <c r="A171" s="41"/>
      <c r="B171" s="42"/>
      <c r="C171" s="42"/>
      <c r="D171" s="42"/>
      <c r="E171" s="42"/>
      <c r="F171" s="42"/>
      <c r="G171" s="42"/>
      <c r="H171" s="42"/>
    </row>
    <row r="172" customFormat="false" ht="15" hidden="false" customHeight="false" outlineLevel="0" collapsed="false">
      <c r="A172" s="41"/>
      <c r="B172" s="42"/>
      <c r="C172" s="42"/>
      <c r="D172" s="42"/>
      <c r="E172" s="42"/>
      <c r="F172" s="42"/>
      <c r="G172" s="42"/>
      <c r="H172" s="42"/>
    </row>
    <row r="173" customFormat="false" ht="15" hidden="false" customHeight="false" outlineLevel="0" collapsed="false">
      <c r="A173" s="41"/>
      <c r="B173" s="42"/>
      <c r="C173" s="42"/>
      <c r="D173" s="42"/>
      <c r="E173" s="42"/>
      <c r="F173" s="42"/>
      <c r="G173" s="42"/>
      <c r="H173" s="42"/>
    </row>
    <row r="174" customFormat="false" ht="15" hidden="false" customHeight="false" outlineLevel="0" collapsed="false">
      <c r="A174" s="41"/>
      <c r="B174" s="42"/>
      <c r="C174" s="42"/>
      <c r="D174" s="42"/>
      <c r="E174" s="42"/>
      <c r="F174" s="42"/>
      <c r="G174" s="42"/>
      <c r="H174" s="42"/>
    </row>
    <row r="175" customFormat="false" ht="15" hidden="false" customHeight="false" outlineLevel="0" collapsed="false">
      <c r="A175" s="41"/>
      <c r="B175" s="42"/>
      <c r="C175" s="42"/>
      <c r="D175" s="42"/>
      <c r="E175" s="42"/>
      <c r="F175" s="42"/>
      <c r="G175" s="42"/>
      <c r="H175" s="42"/>
    </row>
    <row r="176" customFormat="false" ht="15" hidden="false" customHeight="false" outlineLevel="0" collapsed="false">
      <c r="A176" s="41"/>
      <c r="B176" s="42"/>
      <c r="C176" s="42"/>
      <c r="D176" s="42"/>
      <c r="E176" s="42"/>
      <c r="F176" s="42"/>
      <c r="G176" s="42"/>
      <c r="H176" s="42"/>
    </row>
    <row r="177" customFormat="false" ht="15" hidden="false" customHeight="false" outlineLevel="0" collapsed="false">
      <c r="A177" s="41"/>
      <c r="B177" s="42"/>
      <c r="C177" s="42"/>
      <c r="D177" s="42"/>
      <c r="E177" s="42"/>
      <c r="F177" s="42"/>
      <c r="G177" s="42"/>
      <c r="H177" s="42"/>
    </row>
    <row r="178" customFormat="false" ht="15" hidden="false" customHeight="false" outlineLevel="0" collapsed="false">
      <c r="A178" s="41"/>
      <c r="B178" s="42"/>
      <c r="C178" s="42"/>
      <c r="D178" s="42"/>
      <c r="E178" s="42"/>
      <c r="F178" s="42"/>
      <c r="G178" s="42"/>
      <c r="H178" s="42"/>
    </row>
    <row r="179" customFormat="false" ht="15" hidden="false" customHeight="false" outlineLevel="0" collapsed="false">
      <c r="A179" s="41"/>
      <c r="B179" s="42"/>
      <c r="C179" s="42"/>
      <c r="D179" s="42"/>
      <c r="E179" s="42"/>
      <c r="F179" s="42"/>
      <c r="G179" s="42"/>
      <c r="H179" s="42"/>
    </row>
    <row r="180" customFormat="false" ht="15" hidden="false" customHeight="false" outlineLevel="0" collapsed="false">
      <c r="A180" s="41"/>
      <c r="B180" s="42"/>
      <c r="C180" s="42"/>
      <c r="D180" s="42"/>
      <c r="E180" s="42"/>
      <c r="F180" s="42"/>
      <c r="G180" s="42"/>
      <c r="H180" s="42"/>
    </row>
    <row r="181" customFormat="false" ht="15" hidden="false" customHeight="false" outlineLevel="0" collapsed="false">
      <c r="A181" s="41"/>
      <c r="B181" s="42"/>
      <c r="C181" s="42"/>
      <c r="D181" s="42"/>
      <c r="E181" s="42"/>
      <c r="F181" s="42"/>
      <c r="G181" s="42"/>
      <c r="H181" s="42"/>
    </row>
    <row r="182" customFormat="false" ht="15" hidden="false" customHeight="false" outlineLevel="0" collapsed="false">
      <c r="A182" s="41"/>
      <c r="B182" s="42"/>
      <c r="C182" s="42"/>
      <c r="D182" s="42"/>
      <c r="E182" s="42"/>
      <c r="F182" s="42"/>
      <c r="G182" s="42"/>
      <c r="H182" s="42"/>
    </row>
    <row r="183" customFormat="false" ht="15" hidden="false" customHeight="false" outlineLevel="0" collapsed="false">
      <c r="A183" s="41"/>
      <c r="B183" s="42"/>
      <c r="C183" s="42"/>
      <c r="D183" s="42"/>
      <c r="E183" s="42"/>
      <c r="F183" s="42"/>
      <c r="G183" s="42"/>
      <c r="H183" s="42"/>
    </row>
    <row r="184" customFormat="false" ht="15" hidden="false" customHeight="false" outlineLevel="0" collapsed="false">
      <c r="A184" s="41"/>
      <c r="B184" s="42"/>
      <c r="C184" s="42"/>
      <c r="D184" s="42"/>
      <c r="E184" s="42"/>
      <c r="F184" s="42"/>
      <c r="G184" s="42"/>
      <c r="H184" s="42"/>
    </row>
    <row r="185" customFormat="false" ht="15" hidden="false" customHeight="false" outlineLevel="0" collapsed="false">
      <c r="A185" s="41"/>
      <c r="B185" s="42"/>
      <c r="C185" s="42"/>
      <c r="D185" s="42"/>
      <c r="E185" s="42"/>
      <c r="F185" s="42"/>
      <c r="G185" s="42"/>
      <c r="H185" s="42"/>
    </row>
    <row r="186" customFormat="false" ht="15" hidden="false" customHeight="false" outlineLevel="0" collapsed="false">
      <c r="A186" s="41"/>
      <c r="B186" s="42"/>
      <c r="C186" s="42"/>
      <c r="D186" s="42"/>
      <c r="E186" s="42"/>
      <c r="F186" s="42"/>
      <c r="G186" s="42"/>
      <c r="H186" s="42"/>
    </row>
    <row r="187" customFormat="false" ht="15" hidden="false" customHeight="false" outlineLevel="0" collapsed="false">
      <c r="A187" s="41"/>
      <c r="B187" s="42"/>
      <c r="C187" s="42"/>
      <c r="D187" s="42"/>
      <c r="E187" s="42"/>
      <c r="F187" s="42"/>
      <c r="G187" s="42"/>
      <c r="H187" s="42"/>
    </row>
    <row r="188" customFormat="false" ht="15" hidden="false" customHeight="false" outlineLevel="0" collapsed="false">
      <c r="A188" s="41"/>
      <c r="B188" s="42"/>
      <c r="C188" s="42"/>
      <c r="D188" s="42"/>
      <c r="E188" s="42"/>
      <c r="F188" s="42"/>
      <c r="G188" s="42"/>
      <c r="H188" s="42"/>
    </row>
    <row r="189" customFormat="false" ht="15" hidden="false" customHeight="false" outlineLevel="0" collapsed="false">
      <c r="A189" s="41"/>
      <c r="B189" s="42"/>
      <c r="C189" s="42"/>
      <c r="D189" s="42"/>
      <c r="E189" s="42"/>
      <c r="F189" s="42"/>
      <c r="G189" s="42"/>
      <c r="H189" s="42"/>
    </row>
    <row r="190" customFormat="false" ht="15" hidden="false" customHeight="false" outlineLevel="0" collapsed="false">
      <c r="A190" s="41"/>
      <c r="B190" s="42"/>
      <c r="C190" s="42"/>
      <c r="D190" s="42"/>
      <c r="E190" s="42"/>
      <c r="F190" s="42"/>
      <c r="G190" s="42"/>
      <c r="H190" s="42"/>
    </row>
    <row r="191" customFormat="false" ht="15" hidden="false" customHeight="false" outlineLevel="0" collapsed="false">
      <c r="A191" s="41"/>
      <c r="B191" s="42"/>
      <c r="C191" s="42"/>
      <c r="D191" s="42"/>
      <c r="E191" s="42"/>
      <c r="F191" s="42"/>
      <c r="G191" s="42"/>
      <c r="H191" s="42"/>
    </row>
    <row r="192" customFormat="false" ht="15" hidden="false" customHeight="false" outlineLevel="0" collapsed="false">
      <c r="A192" s="41"/>
      <c r="B192" s="42"/>
      <c r="C192" s="42"/>
      <c r="D192" s="42"/>
      <c r="E192" s="42"/>
      <c r="F192" s="42"/>
      <c r="G192" s="42"/>
      <c r="H192" s="42"/>
    </row>
    <row r="193" customFormat="false" ht="15" hidden="false" customHeight="false" outlineLevel="0" collapsed="false">
      <c r="A193" s="41"/>
      <c r="B193" s="42"/>
      <c r="C193" s="42"/>
      <c r="D193" s="42"/>
      <c r="E193" s="42"/>
      <c r="F193" s="42"/>
      <c r="G193" s="42"/>
      <c r="H193" s="42"/>
    </row>
    <row r="194" customFormat="false" ht="15" hidden="false" customHeight="false" outlineLevel="0" collapsed="false">
      <c r="A194" s="41"/>
      <c r="B194" s="42"/>
      <c r="C194" s="42"/>
      <c r="D194" s="42"/>
      <c r="E194" s="42"/>
      <c r="F194" s="42"/>
      <c r="G194" s="42"/>
      <c r="H194" s="42"/>
    </row>
    <row r="195" customFormat="false" ht="15" hidden="false" customHeight="false" outlineLevel="0" collapsed="false">
      <c r="A195" s="41"/>
      <c r="B195" s="42"/>
      <c r="C195" s="42"/>
      <c r="D195" s="42"/>
      <c r="E195" s="42"/>
      <c r="F195" s="42"/>
      <c r="G195" s="42"/>
      <c r="H195" s="42"/>
    </row>
    <row r="196" customFormat="false" ht="15" hidden="false" customHeight="false" outlineLevel="0" collapsed="false">
      <c r="A196" s="41"/>
      <c r="B196" s="42"/>
      <c r="C196" s="42"/>
      <c r="D196" s="42"/>
      <c r="E196" s="42"/>
      <c r="F196" s="42"/>
      <c r="G196" s="42"/>
      <c r="H196" s="42"/>
    </row>
    <row r="197" customFormat="false" ht="15" hidden="false" customHeight="false" outlineLevel="0" collapsed="false">
      <c r="A197" s="41"/>
      <c r="B197" s="42"/>
      <c r="C197" s="42"/>
      <c r="D197" s="42"/>
      <c r="E197" s="42"/>
      <c r="F197" s="42"/>
      <c r="G197" s="42"/>
      <c r="H197" s="42"/>
    </row>
    <row r="198" customFormat="false" ht="15" hidden="false" customHeight="false" outlineLevel="0" collapsed="false">
      <c r="A198" s="41"/>
      <c r="B198" s="42"/>
      <c r="C198" s="42"/>
      <c r="D198" s="42"/>
      <c r="E198" s="42"/>
      <c r="F198" s="42"/>
      <c r="G198" s="42"/>
      <c r="H198" s="42"/>
    </row>
    <row r="199" customFormat="false" ht="15" hidden="false" customHeight="false" outlineLevel="0" collapsed="false">
      <c r="A199" s="41"/>
      <c r="B199" s="42"/>
      <c r="C199" s="42"/>
      <c r="D199" s="42"/>
      <c r="E199" s="42"/>
      <c r="F199" s="42"/>
      <c r="G199" s="42"/>
      <c r="H199" s="4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0A4AE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6" min="5" style="0" width="16"/>
    <col collapsed="false" customWidth="true" hidden="false" outlineLevel="0" max="7" min="7" style="0" width="28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327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2" t="s">
        <v>100</v>
      </c>
      <c r="B4" s="12" t="s">
        <v>328</v>
      </c>
      <c r="C4" s="12" t="s">
        <v>329</v>
      </c>
      <c r="D4" s="12" t="s">
        <v>330</v>
      </c>
      <c r="E4" s="12" t="s">
        <v>331</v>
      </c>
      <c r="F4" s="12" t="s">
        <v>332</v>
      </c>
      <c r="G4" s="12" t="s">
        <v>333</v>
      </c>
      <c r="H4" s="12" t="s">
        <v>334</v>
      </c>
      <c r="I4" s="12" t="s">
        <v>335</v>
      </c>
    </row>
    <row r="5" customFormat="false" ht="15" hidden="false" customHeight="false" outlineLevel="0" collapsed="false">
      <c r="A5" s="37" t="n">
        <v>1</v>
      </c>
      <c r="B5" s="47" t="s">
        <v>156</v>
      </c>
      <c r="C5" s="47" t="s">
        <v>336</v>
      </c>
      <c r="D5" s="47" t="s">
        <v>337</v>
      </c>
      <c r="E5" s="48" t="n">
        <v>46112</v>
      </c>
      <c r="F5" s="48" t="n">
        <v>46038</v>
      </c>
      <c r="G5" s="47" t="s">
        <v>338</v>
      </c>
      <c r="H5" s="47" t="s">
        <v>339</v>
      </c>
      <c r="I5" s="47" t="s">
        <v>340</v>
      </c>
    </row>
    <row r="6" customFormat="false" ht="15" hidden="false" customHeight="false" outlineLevel="0" collapsed="false">
      <c r="A6" s="37" t="n">
        <v>2</v>
      </c>
      <c r="B6" s="47" t="s">
        <v>341</v>
      </c>
      <c r="C6" s="47" t="s">
        <v>342</v>
      </c>
      <c r="D6" s="47" t="s">
        <v>343</v>
      </c>
      <c r="E6" s="48" t="n">
        <v>46112</v>
      </c>
      <c r="F6" s="48"/>
      <c r="G6" s="47" t="s">
        <v>344</v>
      </c>
      <c r="H6" s="47" t="s">
        <v>339</v>
      </c>
      <c r="I6" s="47" t="s">
        <v>340</v>
      </c>
    </row>
    <row r="7" customFormat="false" ht="15" hidden="false" customHeight="false" outlineLevel="0" collapsed="false">
      <c r="A7" s="37" t="n">
        <v>3</v>
      </c>
      <c r="B7" s="47" t="s">
        <v>345</v>
      </c>
      <c r="C7" s="47" t="s">
        <v>346</v>
      </c>
      <c r="D7" s="47" t="s">
        <v>347</v>
      </c>
      <c r="E7" s="48" t="n">
        <v>46112</v>
      </c>
      <c r="F7" s="48"/>
      <c r="G7" s="47" t="s">
        <v>348</v>
      </c>
      <c r="H7" s="47" t="s">
        <v>339</v>
      </c>
      <c r="I7" s="47" t="s">
        <v>340</v>
      </c>
    </row>
    <row r="8" customFormat="false" ht="15" hidden="false" customHeight="false" outlineLevel="0" collapsed="false">
      <c r="A8" s="37" t="n">
        <v>4</v>
      </c>
      <c r="B8" s="47" t="s">
        <v>167</v>
      </c>
      <c r="C8" s="47" t="s">
        <v>349</v>
      </c>
      <c r="D8" s="47" t="s">
        <v>350</v>
      </c>
      <c r="E8" s="48" t="n">
        <v>46131</v>
      </c>
      <c r="F8" s="48"/>
      <c r="G8" s="47" t="s">
        <v>351</v>
      </c>
      <c r="H8" s="47" t="s">
        <v>339</v>
      </c>
      <c r="I8" s="47" t="s">
        <v>352</v>
      </c>
    </row>
    <row r="9" customFormat="false" ht="15" hidden="false" customHeight="false" outlineLevel="0" collapsed="false">
      <c r="A9" s="37" t="n">
        <v>5</v>
      </c>
      <c r="B9" s="47" t="s">
        <v>172</v>
      </c>
      <c r="C9" s="47" t="s">
        <v>353</v>
      </c>
      <c r="D9" s="47" t="s">
        <v>354</v>
      </c>
      <c r="E9" s="48" t="n">
        <v>46131</v>
      </c>
      <c r="F9" s="48"/>
      <c r="G9" s="47" t="s">
        <v>355</v>
      </c>
      <c r="H9" s="47" t="s">
        <v>339</v>
      </c>
      <c r="I9" s="47" t="s">
        <v>352</v>
      </c>
    </row>
    <row r="10" customFormat="false" ht="15" hidden="false" customHeight="false" outlineLevel="0" collapsed="false">
      <c r="A10" s="37" t="n">
        <v>6</v>
      </c>
      <c r="B10" s="47" t="s">
        <v>182</v>
      </c>
      <c r="C10" s="47" t="s">
        <v>356</v>
      </c>
      <c r="D10" s="47" t="s">
        <v>347</v>
      </c>
      <c r="E10" s="48" t="n">
        <v>46135</v>
      </c>
      <c r="F10" s="48" t="n">
        <v>46148</v>
      </c>
      <c r="G10" s="47" t="s">
        <v>357</v>
      </c>
      <c r="H10" s="47" t="s">
        <v>339</v>
      </c>
      <c r="I10" s="47" t="s">
        <v>358</v>
      </c>
    </row>
    <row r="11" customFormat="false" ht="15" hidden="false" customHeight="false" outlineLevel="0" collapsed="false">
      <c r="A11" s="37" t="n">
        <v>7</v>
      </c>
      <c r="B11" s="47" t="s">
        <v>193</v>
      </c>
      <c r="C11" s="47" t="s">
        <v>359</v>
      </c>
      <c r="D11" s="47" t="s">
        <v>360</v>
      </c>
      <c r="E11" s="48" t="n">
        <v>46139</v>
      </c>
      <c r="F11" s="48" t="n">
        <v>46148</v>
      </c>
      <c r="G11" s="47" t="s">
        <v>348</v>
      </c>
      <c r="H11" s="47" t="s">
        <v>339</v>
      </c>
      <c r="I11" s="47" t="s">
        <v>361</v>
      </c>
    </row>
    <row r="12" customFormat="false" ht="15" hidden="false" customHeight="false" outlineLevel="0" collapsed="false">
      <c r="A12" s="37" t="n">
        <v>8</v>
      </c>
      <c r="B12" s="47" t="s">
        <v>200</v>
      </c>
      <c r="C12" s="47" t="s">
        <v>362</v>
      </c>
      <c r="D12" s="47" t="s">
        <v>363</v>
      </c>
      <c r="E12" s="48" t="n">
        <v>46140</v>
      </c>
      <c r="F12" s="48" t="n">
        <v>46141</v>
      </c>
      <c r="G12" s="47" t="s">
        <v>348</v>
      </c>
      <c r="H12" s="47" t="s">
        <v>339</v>
      </c>
      <c r="I12" s="47" t="s">
        <v>364</v>
      </c>
    </row>
    <row r="13" customFormat="false" ht="15" hidden="false" customHeight="false" outlineLevel="0" collapsed="false">
      <c r="A13" s="37" t="n">
        <v>9</v>
      </c>
      <c r="B13" s="47" t="s">
        <v>206</v>
      </c>
      <c r="C13" s="47" t="s">
        <v>365</v>
      </c>
      <c r="D13" s="47" t="s">
        <v>366</v>
      </c>
      <c r="E13" s="48" t="n">
        <v>46142</v>
      </c>
      <c r="F13" s="48" t="n">
        <v>46142</v>
      </c>
      <c r="G13" s="47" t="s">
        <v>367</v>
      </c>
      <c r="H13" s="47" t="s">
        <v>339</v>
      </c>
      <c r="I13" s="47" t="s">
        <v>368</v>
      </c>
    </row>
    <row r="14" customFormat="false" ht="15" hidden="false" customHeight="false" outlineLevel="0" collapsed="false">
      <c r="A14" s="37" t="n">
        <v>10</v>
      </c>
      <c r="B14" s="47" t="s">
        <v>369</v>
      </c>
      <c r="C14" s="47" t="s">
        <v>370</v>
      </c>
      <c r="D14" s="47" t="s">
        <v>347</v>
      </c>
      <c r="E14" s="48"/>
      <c r="F14" s="48" t="n">
        <v>46148</v>
      </c>
      <c r="G14" s="47" t="s">
        <v>371</v>
      </c>
      <c r="H14" s="47" t="s">
        <v>339</v>
      </c>
      <c r="I14" s="47" t="s">
        <v>370</v>
      </c>
    </row>
    <row r="15" customFormat="false" ht="15" hidden="false" customHeight="false" outlineLevel="0" collapsed="false">
      <c r="A15" s="37" t="n">
        <v>11</v>
      </c>
      <c r="B15" s="47" t="s">
        <v>372</v>
      </c>
      <c r="C15" s="47" t="s">
        <v>373</v>
      </c>
      <c r="D15" s="47" t="s">
        <v>347</v>
      </c>
      <c r="E15" s="48"/>
      <c r="F15" s="48"/>
      <c r="G15" s="47" t="s">
        <v>374</v>
      </c>
      <c r="H15" s="47" t="s">
        <v>339</v>
      </c>
      <c r="I15" s="47" t="s">
        <v>370</v>
      </c>
    </row>
    <row r="16" customFormat="false" ht="15" hidden="false" customHeight="false" outlineLevel="0" collapsed="false">
      <c r="A16" s="37" t="n">
        <v>12</v>
      </c>
      <c r="B16" s="47" t="s">
        <v>231</v>
      </c>
      <c r="C16" s="47" t="s">
        <v>375</v>
      </c>
      <c r="D16" s="47" t="s">
        <v>376</v>
      </c>
      <c r="E16" s="48" t="n">
        <v>46154</v>
      </c>
      <c r="F16" s="48"/>
      <c r="G16" s="47" t="s">
        <v>377</v>
      </c>
      <c r="H16" s="47" t="s">
        <v>339</v>
      </c>
      <c r="I16" s="47" t="s">
        <v>378</v>
      </c>
    </row>
    <row r="17" customFormat="false" ht="15" hidden="false" customHeight="false" outlineLevel="0" collapsed="false">
      <c r="A17" s="37" t="n">
        <v>13</v>
      </c>
      <c r="B17" s="47" t="s">
        <v>235</v>
      </c>
      <c r="C17" s="47" t="s">
        <v>379</v>
      </c>
      <c r="D17" s="47" t="s">
        <v>376</v>
      </c>
      <c r="E17" s="48" t="n">
        <v>46154</v>
      </c>
      <c r="F17" s="48"/>
      <c r="G17" s="47" t="s">
        <v>380</v>
      </c>
      <c r="H17" s="47" t="s">
        <v>339</v>
      </c>
      <c r="I17" s="47" t="s">
        <v>378</v>
      </c>
    </row>
    <row r="18" customFormat="false" ht="15" hidden="false" customHeight="false" outlineLevel="0" collapsed="false">
      <c r="A18" s="37" t="n">
        <v>14</v>
      </c>
      <c r="B18" s="47" t="s">
        <v>381</v>
      </c>
      <c r="C18" s="47" t="s">
        <v>382</v>
      </c>
      <c r="D18" s="47" t="s">
        <v>347</v>
      </c>
      <c r="E18" s="48" t="n">
        <v>46127</v>
      </c>
      <c r="F18" s="48" t="n">
        <v>46127</v>
      </c>
      <c r="G18" s="47" t="s">
        <v>383</v>
      </c>
      <c r="H18" s="47" t="s">
        <v>339</v>
      </c>
      <c r="I18" s="47" t="s">
        <v>384</v>
      </c>
    </row>
    <row r="19" customFormat="false" ht="15" hidden="false" customHeight="false" outlineLevel="0" collapsed="false">
      <c r="A19" s="37" t="n">
        <v>15</v>
      </c>
      <c r="B19" s="47" t="s">
        <v>385</v>
      </c>
      <c r="C19" s="47" t="s">
        <v>386</v>
      </c>
      <c r="D19" s="47" t="s">
        <v>387</v>
      </c>
      <c r="E19" s="48" t="n">
        <v>46127</v>
      </c>
      <c r="F19" s="48"/>
      <c r="G19" s="47" t="s">
        <v>388</v>
      </c>
      <c r="H19" s="47" t="s">
        <v>339</v>
      </c>
      <c r="I19" s="47" t="s">
        <v>384</v>
      </c>
    </row>
    <row r="20" customFormat="false" ht="15" hidden="false" customHeight="false" outlineLevel="0" collapsed="false">
      <c r="A20" s="37" t="n">
        <v>16</v>
      </c>
      <c r="B20" s="47" t="s">
        <v>195</v>
      </c>
      <c r="C20" s="47" t="s">
        <v>389</v>
      </c>
      <c r="D20" s="47" t="s">
        <v>390</v>
      </c>
      <c r="E20" s="48" t="n">
        <v>46139</v>
      </c>
      <c r="F20" s="48" t="n">
        <v>46141</v>
      </c>
      <c r="G20" s="47" t="s">
        <v>370</v>
      </c>
      <c r="H20" s="47" t="s">
        <v>216</v>
      </c>
      <c r="I20" s="47" t="s">
        <v>361</v>
      </c>
    </row>
    <row r="21" customFormat="false" ht="15" hidden="false" customHeight="false" outlineLevel="0" collapsed="false">
      <c r="A21" s="37" t="n">
        <v>17</v>
      </c>
      <c r="B21" s="47" t="s">
        <v>185</v>
      </c>
      <c r="C21" s="47" t="s">
        <v>391</v>
      </c>
      <c r="D21" s="47" t="s">
        <v>370</v>
      </c>
      <c r="E21" s="48" t="n">
        <v>46135</v>
      </c>
      <c r="F21" s="48" t="n">
        <v>46139</v>
      </c>
      <c r="G21" s="47" t="s">
        <v>370</v>
      </c>
      <c r="H21" s="47" t="s">
        <v>216</v>
      </c>
      <c r="I21" s="47" t="s">
        <v>358</v>
      </c>
    </row>
    <row r="22" customFormat="false" ht="15" hidden="false" customHeight="false" outlineLevel="0" collapsed="false">
      <c r="A22" s="37" t="n">
        <v>18</v>
      </c>
      <c r="B22" s="47" t="s">
        <v>197</v>
      </c>
      <c r="C22" s="47" t="s">
        <v>392</v>
      </c>
      <c r="D22" s="47" t="s">
        <v>370</v>
      </c>
      <c r="E22" s="48" t="n">
        <v>46139</v>
      </c>
      <c r="F22" s="48"/>
      <c r="G22" s="47" t="s">
        <v>370</v>
      </c>
      <c r="H22" s="47" t="s">
        <v>216</v>
      </c>
      <c r="I22" s="47" t="s">
        <v>361</v>
      </c>
    </row>
    <row r="23" customFormat="false" ht="15" hidden="false" customHeight="false" outlineLevel="0" collapsed="false">
      <c r="A23" s="37" t="n">
        <v>19</v>
      </c>
      <c r="B23" s="47" t="s">
        <v>203</v>
      </c>
      <c r="C23" s="47" t="s">
        <v>393</v>
      </c>
      <c r="D23" s="47" t="s">
        <v>370</v>
      </c>
      <c r="E23" s="48" t="n">
        <v>46140</v>
      </c>
      <c r="F23" s="48"/>
      <c r="G23" s="47" t="s">
        <v>370</v>
      </c>
      <c r="H23" s="47" t="s">
        <v>216</v>
      </c>
      <c r="I23" s="47" t="s">
        <v>364</v>
      </c>
    </row>
    <row r="24" customFormat="false" ht="15" hidden="false" customHeight="false" outlineLevel="0" collapsed="false">
      <c r="A24" s="37" t="n">
        <v>20</v>
      </c>
      <c r="B24" s="47" t="s">
        <v>175</v>
      </c>
      <c r="C24" s="47" t="s">
        <v>394</v>
      </c>
      <c r="D24" s="47" t="s">
        <v>395</v>
      </c>
      <c r="E24" s="48" t="n">
        <v>46132</v>
      </c>
      <c r="F24" s="48" t="n">
        <v>46142</v>
      </c>
      <c r="G24" s="47" t="s">
        <v>370</v>
      </c>
      <c r="H24" s="47" t="s">
        <v>216</v>
      </c>
      <c r="I24" s="47" t="s">
        <v>396</v>
      </c>
    </row>
    <row r="25" customFormat="false" ht="15" hidden="false" customHeight="false" outlineLevel="0" collapsed="false">
      <c r="A25" s="37" t="n">
        <v>21</v>
      </c>
      <c r="B25" s="47" t="s">
        <v>214</v>
      </c>
      <c r="C25" s="47" t="s">
        <v>397</v>
      </c>
      <c r="D25" s="47" t="s">
        <v>370</v>
      </c>
      <c r="E25" s="48" t="n">
        <v>46146</v>
      </c>
      <c r="F25" s="48"/>
      <c r="G25" s="47" t="s">
        <v>370</v>
      </c>
      <c r="H25" s="47" t="s">
        <v>216</v>
      </c>
      <c r="I25" s="47" t="s">
        <v>398</v>
      </c>
    </row>
    <row r="26" customFormat="false" ht="15" hidden="false" customHeight="false" outlineLevel="0" collapsed="false">
      <c r="A26" s="37" t="n">
        <v>22</v>
      </c>
      <c r="B26" s="47" t="s">
        <v>211</v>
      </c>
      <c r="C26" s="47" t="s">
        <v>399</v>
      </c>
      <c r="D26" s="47" t="s">
        <v>370</v>
      </c>
      <c r="E26" s="48" t="n">
        <v>46146</v>
      </c>
      <c r="F26" s="48"/>
      <c r="G26" s="47" t="s">
        <v>370</v>
      </c>
      <c r="H26" s="47" t="s">
        <v>216</v>
      </c>
      <c r="I26" s="47" t="s">
        <v>398</v>
      </c>
    </row>
    <row r="27" customFormat="false" ht="15" hidden="false" customHeight="false" outlineLevel="0" collapsed="false">
      <c r="A27" s="37" t="n">
        <v>23</v>
      </c>
      <c r="B27" s="47" t="s">
        <v>400</v>
      </c>
      <c r="C27" s="47" t="s">
        <v>370</v>
      </c>
      <c r="D27" s="47" t="s">
        <v>401</v>
      </c>
      <c r="E27" s="48" t="n">
        <v>46112</v>
      </c>
      <c r="F27" s="48"/>
      <c r="G27" s="47" t="s">
        <v>370</v>
      </c>
      <c r="H27" s="47" t="s">
        <v>216</v>
      </c>
      <c r="I27" s="47" t="s">
        <v>340</v>
      </c>
    </row>
    <row r="28" customFormat="false" ht="15" hidden="false" customHeight="false" outlineLevel="0" collapsed="false">
      <c r="A28" s="37" t="n">
        <v>24</v>
      </c>
      <c r="B28" s="47" t="s">
        <v>402</v>
      </c>
      <c r="C28" s="47" t="s">
        <v>403</v>
      </c>
      <c r="D28" s="47" t="s">
        <v>370</v>
      </c>
      <c r="E28" s="48" t="n">
        <v>46127</v>
      </c>
      <c r="F28" s="48"/>
      <c r="G28" s="47" t="s">
        <v>370</v>
      </c>
      <c r="H28" s="47" t="s">
        <v>404</v>
      </c>
      <c r="I28" s="47" t="s">
        <v>384</v>
      </c>
    </row>
    <row r="29" customFormat="false" ht="15" hidden="false" customHeight="false" outlineLevel="0" collapsed="false">
      <c r="A29" s="37" t="n">
        <v>25</v>
      </c>
      <c r="B29" s="47" t="s">
        <v>402</v>
      </c>
      <c r="C29" s="47" t="s">
        <v>405</v>
      </c>
      <c r="D29" s="47" t="s">
        <v>370</v>
      </c>
      <c r="E29" s="48" t="n">
        <v>46127</v>
      </c>
      <c r="F29" s="48"/>
      <c r="G29" s="47" t="s">
        <v>370</v>
      </c>
      <c r="H29" s="47" t="s">
        <v>404</v>
      </c>
      <c r="I29" s="47" t="s">
        <v>384</v>
      </c>
    </row>
    <row r="30" customFormat="false" ht="15" hidden="false" customHeight="false" outlineLevel="0" collapsed="false">
      <c r="A30" s="37" t="n">
        <v>26</v>
      </c>
      <c r="B30" s="47" t="s">
        <v>406</v>
      </c>
      <c r="C30" s="47" t="s">
        <v>407</v>
      </c>
      <c r="D30" s="47" t="s">
        <v>370</v>
      </c>
      <c r="E30" s="48" t="n">
        <v>46127</v>
      </c>
      <c r="F30" s="48"/>
      <c r="G30" s="47" t="s">
        <v>370</v>
      </c>
      <c r="H30" s="47" t="s">
        <v>404</v>
      </c>
      <c r="I30" s="47" t="s">
        <v>384</v>
      </c>
    </row>
    <row r="31" customFormat="false" ht="15" hidden="false" customHeight="false" outlineLevel="0" collapsed="false">
      <c r="A31" s="37" t="n">
        <v>27</v>
      </c>
      <c r="B31" s="47" t="s">
        <v>209</v>
      </c>
      <c r="C31" s="47" t="s">
        <v>408</v>
      </c>
      <c r="D31" s="47" t="s">
        <v>370</v>
      </c>
      <c r="E31" s="48" t="n">
        <v>46134</v>
      </c>
      <c r="F31" s="48" t="n">
        <v>46146</v>
      </c>
      <c r="G31" s="47" t="s">
        <v>370</v>
      </c>
      <c r="H31" s="47" t="s">
        <v>404</v>
      </c>
      <c r="I31" s="47" t="s">
        <v>409</v>
      </c>
    </row>
    <row r="32" customFormat="false" ht="15" hidden="false" customHeight="false" outlineLevel="0" collapsed="false">
      <c r="A32" s="37" t="n">
        <v>28</v>
      </c>
      <c r="B32" s="47" t="s">
        <v>187</v>
      </c>
      <c r="C32" s="47" t="s">
        <v>410</v>
      </c>
      <c r="D32" s="47" t="s">
        <v>370</v>
      </c>
      <c r="E32" s="48" t="n">
        <v>46135</v>
      </c>
      <c r="F32" s="48" t="n">
        <v>46159</v>
      </c>
      <c r="G32" s="47" t="s">
        <v>370</v>
      </c>
      <c r="H32" s="47" t="s">
        <v>404</v>
      </c>
      <c r="I32" s="47" t="s">
        <v>358</v>
      </c>
    </row>
    <row r="33" customFormat="false" ht="15" hidden="false" customHeight="false" outlineLevel="0" collapsed="false">
      <c r="A33" s="37" t="n">
        <v>29</v>
      </c>
      <c r="B33" s="47" t="s">
        <v>190</v>
      </c>
      <c r="C33" s="47" t="s">
        <v>411</v>
      </c>
      <c r="D33" s="47" t="s">
        <v>370</v>
      </c>
      <c r="E33" s="48" t="n">
        <v>46138</v>
      </c>
      <c r="F33" s="48"/>
      <c r="G33" s="47" t="s">
        <v>370</v>
      </c>
      <c r="H33" s="47" t="s">
        <v>404</v>
      </c>
      <c r="I33" s="47" t="s">
        <v>412</v>
      </c>
    </row>
    <row r="34" customFormat="false" ht="15" hidden="false" customHeight="false" outlineLevel="0" collapsed="false">
      <c r="A34" s="37" t="n">
        <v>30</v>
      </c>
      <c r="B34" s="47" t="s">
        <v>217</v>
      </c>
      <c r="C34" s="47" t="s">
        <v>413</v>
      </c>
      <c r="D34" s="47" t="s">
        <v>370</v>
      </c>
      <c r="E34" s="48" t="n">
        <v>46146</v>
      </c>
      <c r="F34" s="48"/>
      <c r="G34" s="47" t="s">
        <v>370</v>
      </c>
      <c r="H34" s="47" t="s">
        <v>404</v>
      </c>
      <c r="I34" s="47" t="s">
        <v>398</v>
      </c>
    </row>
    <row r="35" customFormat="false" ht="15" hidden="false" customHeight="false" outlineLevel="0" collapsed="false">
      <c r="A35" s="37" t="n">
        <v>31</v>
      </c>
      <c r="B35" s="47" t="s">
        <v>220</v>
      </c>
      <c r="C35" s="47" t="s">
        <v>414</v>
      </c>
      <c r="D35" s="47" t="s">
        <v>370</v>
      </c>
      <c r="E35" s="48" t="n">
        <v>46146</v>
      </c>
      <c r="F35" s="48"/>
      <c r="G35" s="47" t="s">
        <v>370</v>
      </c>
      <c r="H35" s="47" t="s">
        <v>404</v>
      </c>
      <c r="I35" s="47" t="s">
        <v>398</v>
      </c>
    </row>
    <row r="36" customFormat="false" ht="15" hidden="false" customHeight="false" outlineLevel="0" collapsed="false">
      <c r="A36" s="37" t="n">
        <v>32</v>
      </c>
      <c r="B36" s="47" t="s">
        <v>415</v>
      </c>
      <c r="C36" s="47" t="s">
        <v>416</v>
      </c>
      <c r="D36" s="47" t="s">
        <v>370</v>
      </c>
      <c r="E36" s="48" t="n">
        <v>46127</v>
      </c>
      <c r="F36" s="48"/>
      <c r="G36" s="47" t="s">
        <v>370</v>
      </c>
      <c r="H36" s="47" t="s">
        <v>404</v>
      </c>
      <c r="I36" s="47" t="s">
        <v>384</v>
      </c>
    </row>
    <row r="37" customFormat="false" ht="15" hidden="false" customHeight="false" outlineLevel="0" collapsed="false">
      <c r="A37" s="37" t="n">
        <v>33</v>
      </c>
      <c r="B37" s="47" t="s">
        <v>417</v>
      </c>
      <c r="C37" s="47" t="s">
        <v>418</v>
      </c>
      <c r="D37" s="47" t="s">
        <v>370</v>
      </c>
      <c r="E37" s="48" t="n">
        <v>46127</v>
      </c>
      <c r="F37" s="48"/>
      <c r="G37" s="47" t="s">
        <v>370</v>
      </c>
      <c r="H37" s="47" t="s">
        <v>419</v>
      </c>
      <c r="I37" s="47" t="s">
        <v>384</v>
      </c>
    </row>
    <row r="38" customFormat="false" ht="15" hidden="false" customHeight="false" outlineLevel="0" collapsed="false">
      <c r="A38" s="37" t="n">
        <v>34</v>
      </c>
      <c r="B38" s="47" t="s">
        <v>420</v>
      </c>
      <c r="C38" s="47" t="s">
        <v>421</v>
      </c>
      <c r="D38" s="47" t="s">
        <v>370</v>
      </c>
      <c r="E38" s="48" t="n">
        <v>46127</v>
      </c>
      <c r="F38" s="48"/>
      <c r="G38" s="47" t="s">
        <v>370</v>
      </c>
      <c r="H38" s="47" t="s">
        <v>419</v>
      </c>
      <c r="I38" s="47" t="s">
        <v>384</v>
      </c>
    </row>
    <row r="39" customFormat="false" ht="15" hidden="false" customHeight="false" outlineLevel="0" collapsed="false">
      <c r="A39" s="37" t="n">
        <v>35</v>
      </c>
      <c r="B39" s="47" t="s">
        <v>162</v>
      </c>
      <c r="C39" s="47" t="s">
        <v>422</v>
      </c>
      <c r="D39" s="47" t="s">
        <v>370</v>
      </c>
      <c r="E39" s="48" t="n">
        <v>46127</v>
      </c>
      <c r="F39" s="48"/>
      <c r="G39" s="47" t="s">
        <v>370</v>
      </c>
      <c r="H39" s="47" t="s">
        <v>419</v>
      </c>
      <c r="I39" s="47" t="s">
        <v>384</v>
      </c>
    </row>
    <row r="40" customFormat="false" ht="15" hidden="false" customHeight="false" outlineLevel="0" collapsed="false">
      <c r="A40" s="37" t="n">
        <v>36</v>
      </c>
      <c r="B40" s="47" t="s">
        <v>423</v>
      </c>
      <c r="C40" s="47" t="s">
        <v>424</v>
      </c>
      <c r="D40" s="47" t="s">
        <v>370</v>
      </c>
      <c r="E40" s="48" t="n">
        <v>46127</v>
      </c>
      <c r="F40" s="48"/>
      <c r="G40" s="47" t="s">
        <v>370</v>
      </c>
      <c r="H40" s="47" t="s">
        <v>419</v>
      </c>
      <c r="I40" s="47" t="s">
        <v>384</v>
      </c>
    </row>
    <row r="41" customFormat="false" ht="15" hidden="false" customHeight="false" outlineLevel="0" collapsed="false">
      <c r="A41" s="37" t="n">
        <v>37</v>
      </c>
      <c r="B41" s="47" t="s">
        <v>425</v>
      </c>
      <c r="C41" s="47" t="s">
        <v>426</v>
      </c>
      <c r="D41" s="47" t="s">
        <v>370</v>
      </c>
      <c r="E41" s="48" t="n">
        <v>46127</v>
      </c>
      <c r="F41" s="48"/>
      <c r="G41" s="47" t="s">
        <v>370</v>
      </c>
      <c r="H41" s="47" t="s">
        <v>419</v>
      </c>
      <c r="I41" s="47" t="s">
        <v>384</v>
      </c>
    </row>
    <row r="42" customFormat="false" ht="15" hidden="false" customHeight="false" outlineLevel="0" collapsed="false">
      <c r="A42" s="37" t="n">
        <v>38</v>
      </c>
      <c r="B42" s="47" t="s">
        <v>427</v>
      </c>
      <c r="C42" s="47" t="s">
        <v>428</v>
      </c>
      <c r="D42" s="47" t="s">
        <v>370</v>
      </c>
      <c r="E42" s="48" t="n">
        <v>46127</v>
      </c>
      <c r="F42" s="48"/>
      <c r="G42" s="47" t="s">
        <v>370</v>
      </c>
      <c r="H42" s="47" t="s">
        <v>419</v>
      </c>
      <c r="I42" s="47" t="s">
        <v>384</v>
      </c>
    </row>
    <row r="43" customFormat="false" ht="15" hidden="false" customHeight="false" outlineLevel="0" collapsed="false">
      <c r="A43" s="37" t="n">
        <v>39</v>
      </c>
      <c r="B43" s="47" t="s">
        <v>429</v>
      </c>
      <c r="C43" s="47" t="s">
        <v>403</v>
      </c>
      <c r="D43" s="47" t="s">
        <v>370</v>
      </c>
      <c r="E43" s="48" t="n">
        <v>46127</v>
      </c>
      <c r="F43" s="48"/>
      <c r="G43" s="47" t="s">
        <v>370</v>
      </c>
      <c r="H43" s="47" t="s">
        <v>419</v>
      </c>
      <c r="I43" s="47" t="s">
        <v>384</v>
      </c>
    </row>
    <row r="44" customFormat="false" ht="15" hidden="false" customHeight="false" outlineLevel="0" collapsed="false">
      <c r="A44" s="37" t="n">
        <v>40</v>
      </c>
      <c r="B44" s="47" t="s">
        <v>430</v>
      </c>
      <c r="C44" s="47" t="s">
        <v>431</v>
      </c>
      <c r="D44" s="47" t="s">
        <v>370</v>
      </c>
      <c r="E44" s="48" t="n">
        <v>46127</v>
      </c>
      <c r="F44" s="48"/>
      <c r="G44" s="47" t="s">
        <v>370</v>
      </c>
      <c r="H44" s="47" t="s">
        <v>419</v>
      </c>
      <c r="I44" s="47" t="s">
        <v>384</v>
      </c>
    </row>
    <row r="45" customFormat="false" ht="15" hidden="false" customHeight="false" outlineLevel="0" collapsed="false">
      <c r="A45" s="37" t="n">
        <v>41</v>
      </c>
      <c r="B45" s="47" t="s">
        <v>432</v>
      </c>
      <c r="C45" s="47" t="s">
        <v>433</v>
      </c>
      <c r="D45" s="47" t="s">
        <v>370</v>
      </c>
      <c r="E45" s="48" t="n">
        <v>46127</v>
      </c>
      <c r="F45" s="48"/>
      <c r="G45" s="47" t="s">
        <v>370</v>
      </c>
      <c r="H45" s="47" t="s">
        <v>419</v>
      </c>
      <c r="I45" s="47" t="s">
        <v>434</v>
      </c>
    </row>
    <row r="46" customFormat="false" ht="15" hidden="false" customHeight="false" outlineLevel="0" collapsed="false">
      <c r="A46" s="37" t="n">
        <v>42</v>
      </c>
      <c r="B46" s="47" t="s">
        <v>178</v>
      </c>
      <c r="C46" s="47" t="s">
        <v>435</v>
      </c>
      <c r="D46" s="47" t="s">
        <v>370</v>
      </c>
      <c r="E46" s="48" t="n">
        <v>46132</v>
      </c>
      <c r="F46" s="48"/>
      <c r="G46" s="47" t="s">
        <v>370</v>
      </c>
      <c r="H46" s="47" t="s">
        <v>419</v>
      </c>
      <c r="I46" s="47" t="s">
        <v>396</v>
      </c>
    </row>
    <row r="47" customFormat="false" ht="15" hidden="false" customHeight="false" outlineLevel="0" collapsed="false">
      <c r="A47" s="37" t="n">
        <v>43</v>
      </c>
      <c r="B47" s="47" t="s">
        <v>436</v>
      </c>
      <c r="C47" s="47" t="s">
        <v>437</v>
      </c>
      <c r="D47" s="47" t="s">
        <v>370</v>
      </c>
      <c r="E47" s="48" t="n">
        <v>46127</v>
      </c>
      <c r="F47" s="48"/>
      <c r="G47" s="47" t="s">
        <v>370</v>
      </c>
      <c r="H47" s="47" t="s">
        <v>419</v>
      </c>
      <c r="I47" s="47" t="s">
        <v>384</v>
      </c>
    </row>
    <row r="48" customFormat="false" ht="15" hidden="false" customHeight="false" outlineLevel="0" collapsed="false">
      <c r="A48" s="37" t="n">
        <v>44</v>
      </c>
      <c r="B48" s="47" t="s">
        <v>438</v>
      </c>
      <c r="C48" s="47" t="s">
        <v>370</v>
      </c>
      <c r="D48" s="47" t="s">
        <v>370</v>
      </c>
      <c r="E48" s="48" t="n">
        <v>46127</v>
      </c>
      <c r="F48" s="48"/>
      <c r="G48" s="47" t="s">
        <v>370</v>
      </c>
      <c r="H48" s="47" t="s">
        <v>419</v>
      </c>
      <c r="I48" s="47" t="s">
        <v>384</v>
      </c>
    </row>
    <row r="49" customFormat="false" ht="15" hidden="false" customHeight="false" outlineLevel="0" collapsed="false">
      <c r="A49" s="37" t="n">
        <v>45</v>
      </c>
      <c r="B49" s="47" t="s">
        <v>439</v>
      </c>
      <c r="C49" s="47" t="s">
        <v>370</v>
      </c>
      <c r="D49" s="47" t="s">
        <v>370</v>
      </c>
      <c r="E49" s="48" t="n">
        <v>46127</v>
      </c>
      <c r="F49" s="48"/>
      <c r="G49" s="47" t="s">
        <v>370</v>
      </c>
      <c r="H49" s="47" t="s">
        <v>419</v>
      </c>
      <c r="I49" s="47" t="s">
        <v>384</v>
      </c>
    </row>
    <row r="50" customFormat="false" ht="15" hidden="false" customHeight="false" outlineLevel="0" collapsed="false">
      <c r="A50" s="37" t="n">
        <v>46</v>
      </c>
      <c r="B50" s="47" t="s">
        <v>440</v>
      </c>
      <c r="C50" s="47" t="s">
        <v>370</v>
      </c>
      <c r="D50" s="47" t="s">
        <v>370</v>
      </c>
      <c r="E50" s="48" t="n">
        <v>46127</v>
      </c>
      <c r="F50" s="48"/>
      <c r="G50" s="47" t="s">
        <v>370</v>
      </c>
      <c r="H50" s="47" t="s">
        <v>419</v>
      </c>
      <c r="I50" s="47" t="s">
        <v>384</v>
      </c>
    </row>
    <row r="51" customFormat="false" ht="15" hidden="false" customHeight="false" outlineLevel="0" collapsed="false">
      <c r="A51" s="37" t="n">
        <v>47</v>
      </c>
      <c r="B51" s="47" t="s">
        <v>441</v>
      </c>
      <c r="C51" s="47" t="s">
        <v>442</v>
      </c>
      <c r="D51" s="47" t="s">
        <v>370</v>
      </c>
      <c r="E51" s="48" t="n">
        <v>46127</v>
      </c>
      <c r="F51" s="48"/>
      <c r="G51" s="47" t="s">
        <v>370</v>
      </c>
      <c r="H51" s="47" t="s">
        <v>419</v>
      </c>
      <c r="I51" s="47" t="s">
        <v>384</v>
      </c>
    </row>
    <row r="52" customFormat="false" ht="15" hidden="false" customHeight="false" outlineLevel="0" collapsed="false">
      <c r="A52" s="37" t="n">
        <v>48</v>
      </c>
      <c r="B52" s="47" t="s">
        <v>443</v>
      </c>
      <c r="C52" s="47" t="s">
        <v>370</v>
      </c>
      <c r="D52" s="47" t="s">
        <v>370</v>
      </c>
      <c r="E52" s="48" t="n">
        <v>46127</v>
      </c>
      <c r="F52" s="48"/>
      <c r="G52" s="47" t="s">
        <v>370</v>
      </c>
      <c r="H52" s="47" t="s">
        <v>419</v>
      </c>
      <c r="I52" s="47" t="s">
        <v>384</v>
      </c>
    </row>
    <row r="53" customFormat="false" ht="23.85" hidden="false" customHeight="false" outlineLevel="0" collapsed="false">
      <c r="A53" s="37" t="n">
        <v>49</v>
      </c>
      <c r="B53" s="47" t="s">
        <v>444</v>
      </c>
      <c r="C53" s="47" t="s">
        <v>445</v>
      </c>
      <c r="D53" s="47" t="s">
        <v>347</v>
      </c>
      <c r="E53" s="48" t="n">
        <v>46174</v>
      </c>
      <c r="F53" s="48"/>
      <c r="G53" s="47" t="s">
        <v>446</v>
      </c>
      <c r="H53" s="47" t="s">
        <v>339</v>
      </c>
      <c r="I53" s="47" t="s">
        <v>447</v>
      </c>
    </row>
    <row r="54" customFormat="false" ht="23.85" hidden="false" customHeight="false" outlineLevel="0" collapsed="false">
      <c r="A54" s="37" t="n">
        <v>50</v>
      </c>
      <c r="B54" s="47" t="s">
        <v>265</v>
      </c>
      <c r="C54" s="47" t="s">
        <v>448</v>
      </c>
      <c r="D54" s="47" t="s">
        <v>347</v>
      </c>
      <c r="E54" s="48" t="n">
        <v>46174</v>
      </c>
      <c r="F54" s="48"/>
      <c r="G54" s="47" t="s">
        <v>449</v>
      </c>
      <c r="H54" s="47" t="s">
        <v>339</v>
      </c>
      <c r="I54" s="47" t="s">
        <v>447</v>
      </c>
    </row>
    <row r="55" customFormat="false" ht="23.85" hidden="false" customHeight="false" outlineLevel="0" collapsed="false">
      <c r="A55" s="37" t="n">
        <v>51</v>
      </c>
      <c r="B55" s="47" t="s">
        <v>450</v>
      </c>
      <c r="C55" s="47" t="s">
        <v>451</v>
      </c>
      <c r="D55" s="47" t="s">
        <v>452</v>
      </c>
      <c r="E55" s="48" t="n">
        <v>46168</v>
      </c>
      <c r="F55" s="48"/>
      <c r="G55" s="47" t="s">
        <v>370</v>
      </c>
      <c r="H55" s="47" t="s">
        <v>216</v>
      </c>
      <c r="I55" s="47" t="s">
        <v>453</v>
      </c>
    </row>
    <row r="56" customFormat="false" ht="15" hidden="false" customHeight="false" outlineLevel="0" collapsed="false">
      <c r="A56" s="37" t="n">
        <v>52</v>
      </c>
      <c r="B56" s="47" t="s">
        <v>454</v>
      </c>
      <c r="C56" s="47" t="s">
        <v>455</v>
      </c>
      <c r="D56" s="47" t="s">
        <v>456</v>
      </c>
      <c r="E56" s="48" t="n">
        <v>46168</v>
      </c>
      <c r="F56" s="48"/>
      <c r="G56" s="47" t="s">
        <v>370</v>
      </c>
      <c r="H56" s="47" t="s">
        <v>404</v>
      </c>
      <c r="I56" s="47" t="s">
        <v>453</v>
      </c>
    </row>
    <row r="57" customFormat="false" ht="23.85" hidden="false" customHeight="false" outlineLevel="0" collapsed="false">
      <c r="A57" s="37" t="n">
        <v>53</v>
      </c>
      <c r="B57" s="47" t="s">
        <v>457</v>
      </c>
      <c r="C57" s="47" t="s">
        <v>458</v>
      </c>
      <c r="D57" s="47" t="s">
        <v>370</v>
      </c>
      <c r="E57" s="48" t="n">
        <v>46160</v>
      </c>
      <c r="F57" s="48"/>
      <c r="G57" s="47" t="s">
        <v>370</v>
      </c>
      <c r="H57" s="47" t="s">
        <v>419</v>
      </c>
      <c r="I57" s="47" t="s">
        <v>459</v>
      </c>
    </row>
    <row r="58" customFormat="false" ht="15" hidden="false" customHeight="false" outlineLevel="0" collapsed="false">
      <c r="A58" s="37" t="n">
        <v>54</v>
      </c>
      <c r="B58" s="47" t="s">
        <v>258</v>
      </c>
      <c r="C58" s="47" t="s">
        <v>460</v>
      </c>
      <c r="D58" s="47" t="s">
        <v>370</v>
      </c>
      <c r="E58" s="48" t="n">
        <v>46171</v>
      </c>
      <c r="F58" s="48"/>
      <c r="G58" s="47" t="s">
        <v>370</v>
      </c>
      <c r="H58" s="47" t="s">
        <v>419</v>
      </c>
      <c r="I58" s="47" t="s">
        <v>461</v>
      </c>
    </row>
    <row r="59" customFormat="false" ht="15" hidden="false" customHeight="false" outlineLevel="0" collapsed="false">
      <c r="A59" s="37" t="n">
        <v>55</v>
      </c>
      <c r="B59" s="47" t="s">
        <v>260</v>
      </c>
      <c r="C59" s="47" t="s">
        <v>462</v>
      </c>
      <c r="D59" s="47" t="s">
        <v>370</v>
      </c>
      <c r="E59" s="48" t="n">
        <v>46171</v>
      </c>
      <c r="F59" s="48"/>
      <c r="G59" s="47" t="s">
        <v>370</v>
      </c>
      <c r="H59" s="47" t="s">
        <v>419</v>
      </c>
      <c r="I59" s="47" t="s">
        <v>461</v>
      </c>
    </row>
    <row r="60" customFormat="false" ht="15" hidden="false" customHeight="false" outlineLevel="0" collapsed="false">
      <c r="A60" s="37" t="n">
        <v>56</v>
      </c>
      <c r="B60" s="47" t="s">
        <v>463</v>
      </c>
      <c r="C60" s="47" t="s">
        <v>464</v>
      </c>
      <c r="D60" s="47" t="s">
        <v>370</v>
      </c>
      <c r="E60" s="48" t="n">
        <v>46174</v>
      </c>
      <c r="F60" s="48"/>
      <c r="G60" s="47" t="s">
        <v>370</v>
      </c>
      <c r="H60" s="47" t="s">
        <v>419</v>
      </c>
      <c r="I60" s="47" t="s">
        <v>447</v>
      </c>
    </row>
  </sheetData>
  <mergeCells count="2">
    <mergeCell ref="A1:I1"/>
    <mergeCell ref="A2:I2"/>
  </mergeCells>
  <conditionalFormatting sqref="H5:H60">
    <cfRule type="expression" priority="2" aboveAverage="0" equalAverage="0" bottom="0" percent="0" rank="0" text="" dxfId="2">
      <formula>$H5="PRIORITY"</formula>
    </cfRule>
    <cfRule type="expression" priority="3" aboveAverage="0" equalAverage="0" bottom="0" percent="0" rank="0" text="" dxfId="3">
      <formula>$H5="BENCH"</formula>
    </cfRule>
    <cfRule type="expression" priority="4" aboveAverage="0" equalAverage="0" bottom="0" percent="0" rank="0" text="" dxfId="4">
      <formula>$H5="WATCHLIST"</formula>
    </cfRule>
    <cfRule type="expression" priority="5" aboveAverage="0" equalAverage="0" bottom="0" percent="0" rank="0" text="" dxfId="5">
      <formula>$H5="FILED"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0A4AE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465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466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2" t="s">
        <v>100</v>
      </c>
      <c r="B4" s="12" t="s">
        <v>467</v>
      </c>
      <c r="C4" s="12" t="s">
        <v>468</v>
      </c>
      <c r="D4" s="12" t="s">
        <v>332</v>
      </c>
      <c r="E4" s="12" t="s">
        <v>469</v>
      </c>
      <c r="F4" s="12" t="s">
        <v>316</v>
      </c>
      <c r="G4" s="12" t="s">
        <v>470</v>
      </c>
    </row>
    <row r="5" customFormat="false" ht="15" hidden="false" customHeight="false" outlineLevel="0" collapsed="false">
      <c r="A5" s="37" t="n">
        <v>1</v>
      </c>
      <c r="B5" s="47" t="s">
        <v>162</v>
      </c>
      <c r="C5" s="47" t="s">
        <v>422</v>
      </c>
      <c r="D5" s="48" t="n">
        <v>46129</v>
      </c>
      <c r="E5" s="47" t="s">
        <v>471</v>
      </c>
      <c r="F5" s="47" t="s">
        <v>472</v>
      </c>
      <c r="G5" s="47" t="s">
        <v>419</v>
      </c>
    </row>
    <row r="6" customFormat="false" ht="23.85" hidden="false" customHeight="false" outlineLevel="0" collapsed="false">
      <c r="A6" s="37" t="n">
        <v>2</v>
      </c>
      <c r="B6" s="47" t="s">
        <v>473</v>
      </c>
      <c r="C6" s="47" t="s">
        <v>424</v>
      </c>
      <c r="D6" s="48" t="n">
        <v>46127</v>
      </c>
      <c r="E6" s="47" t="s">
        <v>474</v>
      </c>
      <c r="F6" s="47" t="s">
        <v>472</v>
      </c>
      <c r="G6" s="47" t="s">
        <v>419</v>
      </c>
    </row>
    <row r="7" customFormat="false" ht="15" hidden="false" customHeight="false" outlineLevel="0" collapsed="false">
      <c r="A7" s="37" t="n">
        <v>3</v>
      </c>
      <c r="B7" s="47" t="s">
        <v>440</v>
      </c>
      <c r="C7" s="47" t="s">
        <v>370</v>
      </c>
      <c r="D7" s="48" t="n">
        <v>46127</v>
      </c>
      <c r="E7" s="47" t="s">
        <v>475</v>
      </c>
      <c r="F7" s="47" t="s">
        <v>472</v>
      </c>
      <c r="G7" s="47" t="s">
        <v>419</v>
      </c>
    </row>
    <row r="8" customFormat="false" ht="15" hidden="false" customHeight="false" outlineLevel="0" collapsed="false">
      <c r="A8" s="37" t="n">
        <v>4</v>
      </c>
      <c r="B8" s="47" t="s">
        <v>427</v>
      </c>
      <c r="C8" s="47" t="s">
        <v>428</v>
      </c>
      <c r="D8" s="48" t="n">
        <v>46127</v>
      </c>
      <c r="E8" s="47" t="s">
        <v>476</v>
      </c>
      <c r="F8" s="47" t="s">
        <v>472</v>
      </c>
      <c r="G8" s="47" t="s">
        <v>419</v>
      </c>
    </row>
    <row r="9" customFormat="false" ht="23.85" hidden="false" customHeight="false" outlineLevel="0" collapsed="false">
      <c r="A9" s="37" t="n">
        <v>5</v>
      </c>
      <c r="B9" s="47" t="s">
        <v>441</v>
      </c>
      <c r="C9" s="47" t="s">
        <v>442</v>
      </c>
      <c r="D9" s="48" t="n">
        <v>46127</v>
      </c>
      <c r="E9" s="47" t="s">
        <v>477</v>
      </c>
      <c r="F9" s="47" t="s">
        <v>472</v>
      </c>
      <c r="G9" s="47" t="s">
        <v>419</v>
      </c>
    </row>
    <row r="10" customFormat="false" ht="15" hidden="false" customHeight="false" outlineLevel="0" collapsed="false">
      <c r="A10" s="37" t="n">
        <v>6</v>
      </c>
      <c r="B10" s="47" t="s">
        <v>443</v>
      </c>
      <c r="C10" s="47" t="s">
        <v>370</v>
      </c>
      <c r="D10" s="48" t="n">
        <v>46127</v>
      </c>
      <c r="E10" s="47" t="s">
        <v>478</v>
      </c>
      <c r="F10" s="47" t="s">
        <v>472</v>
      </c>
      <c r="G10" s="47" t="s">
        <v>419</v>
      </c>
    </row>
    <row r="11" customFormat="false" ht="15" hidden="false" customHeight="false" outlineLevel="0" collapsed="false">
      <c r="A11" s="37" t="n">
        <v>7</v>
      </c>
      <c r="B11" s="47" t="s">
        <v>381</v>
      </c>
      <c r="C11" s="47" t="s">
        <v>382</v>
      </c>
      <c r="D11" s="48" t="n">
        <v>46127</v>
      </c>
      <c r="E11" s="47" t="s">
        <v>479</v>
      </c>
      <c r="F11" s="47" t="s">
        <v>472</v>
      </c>
      <c r="G11" s="47" t="s">
        <v>339</v>
      </c>
    </row>
    <row r="12" customFormat="false" ht="15" hidden="false" customHeight="false" outlineLevel="0" collapsed="false">
      <c r="A12" s="37" t="n">
        <v>8</v>
      </c>
      <c r="B12" s="47" t="s">
        <v>185</v>
      </c>
      <c r="C12" s="47" t="s">
        <v>391</v>
      </c>
      <c r="D12" s="48" t="n">
        <v>46139</v>
      </c>
      <c r="E12" s="47" t="s">
        <v>480</v>
      </c>
      <c r="F12" s="47" t="s">
        <v>472</v>
      </c>
      <c r="G12" s="47" t="s">
        <v>216</v>
      </c>
    </row>
    <row r="13" customFormat="false" ht="15" hidden="false" customHeight="false" outlineLevel="0" collapsed="false">
      <c r="A13" s="37" t="n">
        <v>9</v>
      </c>
      <c r="B13" s="47" t="s">
        <v>439</v>
      </c>
      <c r="C13" s="47" t="s">
        <v>370</v>
      </c>
      <c r="D13" s="48" t="n">
        <v>46140</v>
      </c>
      <c r="E13" s="47" t="s">
        <v>481</v>
      </c>
      <c r="F13" s="47" t="s">
        <v>472</v>
      </c>
      <c r="G13" s="47" t="s">
        <v>419</v>
      </c>
    </row>
    <row r="14" customFormat="false" ht="15" hidden="false" customHeight="false" outlineLevel="0" collapsed="false">
      <c r="A14" s="37" t="n">
        <v>10</v>
      </c>
      <c r="B14" s="47" t="s">
        <v>482</v>
      </c>
      <c r="C14" s="47" t="s">
        <v>362</v>
      </c>
      <c r="D14" s="48" t="n">
        <v>46141</v>
      </c>
      <c r="E14" s="47" t="s">
        <v>483</v>
      </c>
      <c r="F14" s="47" t="s">
        <v>472</v>
      </c>
      <c r="G14" s="47" t="s">
        <v>339</v>
      </c>
    </row>
    <row r="15" customFormat="false" ht="23.85" hidden="false" customHeight="false" outlineLevel="0" collapsed="false">
      <c r="A15" s="37" t="n">
        <v>11</v>
      </c>
      <c r="B15" s="47" t="s">
        <v>195</v>
      </c>
      <c r="C15" s="47" t="s">
        <v>389</v>
      </c>
      <c r="D15" s="48" t="n">
        <v>46141</v>
      </c>
      <c r="E15" s="47" t="s">
        <v>484</v>
      </c>
      <c r="F15" s="47" t="s">
        <v>472</v>
      </c>
      <c r="G15" s="47" t="s">
        <v>216</v>
      </c>
    </row>
    <row r="16" customFormat="false" ht="23.85" hidden="false" customHeight="false" outlineLevel="0" collapsed="false">
      <c r="A16" s="37" t="n">
        <v>12</v>
      </c>
      <c r="B16" s="47" t="s">
        <v>485</v>
      </c>
      <c r="C16" s="47" t="s">
        <v>365</v>
      </c>
      <c r="D16" s="48" t="n">
        <v>46142</v>
      </c>
      <c r="E16" s="47" t="s">
        <v>486</v>
      </c>
      <c r="F16" s="47" t="s">
        <v>472</v>
      </c>
      <c r="G16" s="47" t="s">
        <v>339</v>
      </c>
    </row>
    <row r="17" customFormat="false" ht="23.85" hidden="false" customHeight="false" outlineLevel="0" collapsed="false">
      <c r="A17" s="37" t="n">
        <v>13</v>
      </c>
      <c r="B17" s="47" t="s">
        <v>175</v>
      </c>
      <c r="C17" s="47" t="s">
        <v>394</v>
      </c>
      <c r="D17" s="48" t="n">
        <v>46142</v>
      </c>
      <c r="E17" s="47" t="s">
        <v>487</v>
      </c>
      <c r="F17" s="47" t="s">
        <v>472</v>
      </c>
      <c r="G17" s="47" t="s">
        <v>216</v>
      </c>
    </row>
    <row r="18" customFormat="false" ht="23.85" hidden="false" customHeight="false" outlineLevel="0" collapsed="false">
      <c r="A18" s="37" t="n">
        <v>14</v>
      </c>
      <c r="B18" s="47" t="s">
        <v>209</v>
      </c>
      <c r="C18" s="47" t="s">
        <v>408</v>
      </c>
      <c r="D18" s="48" t="n">
        <v>46146</v>
      </c>
      <c r="E18" s="47" t="s">
        <v>488</v>
      </c>
      <c r="F18" s="47" t="s">
        <v>472</v>
      </c>
      <c r="G18" s="47" t="s">
        <v>404</v>
      </c>
    </row>
    <row r="19" customFormat="false" ht="15" hidden="false" customHeight="false" outlineLevel="0" collapsed="false">
      <c r="A19" s="37" t="n">
        <v>15</v>
      </c>
      <c r="B19" s="47" t="s">
        <v>182</v>
      </c>
      <c r="C19" s="47" t="s">
        <v>356</v>
      </c>
      <c r="D19" s="48" t="n">
        <v>46148</v>
      </c>
      <c r="E19" s="47" t="s">
        <v>489</v>
      </c>
      <c r="F19" s="47" t="s">
        <v>472</v>
      </c>
      <c r="G19" s="47" t="s">
        <v>339</v>
      </c>
    </row>
    <row r="20" customFormat="false" ht="15" hidden="false" customHeight="false" outlineLevel="0" collapsed="false">
      <c r="A20" s="37" t="n">
        <v>16</v>
      </c>
      <c r="B20" s="47" t="s">
        <v>490</v>
      </c>
      <c r="C20" s="47" t="s">
        <v>370</v>
      </c>
      <c r="D20" s="48" t="n">
        <v>46148</v>
      </c>
      <c r="E20" s="47" t="s">
        <v>491</v>
      </c>
      <c r="F20" s="47" t="s">
        <v>472</v>
      </c>
      <c r="G20" s="47" t="s">
        <v>339</v>
      </c>
    </row>
    <row r="21" customFormat="false" ht="23.85" hidden="false" customHeight="false" outlineLevel="0" collapsed="false">
      <c r="A21" s="37" t="n">
        <v>17</v>
      </c>
      <c r="B21" s="47" t="s">
        <v>193</v>
      </c>
      <c r="C21" s="47" t="s">
        <v>359</v>
      </c>
      <c r="D21" s="48" t="n">
        <v>46148</v>
      </c>
      <c r="E21" s="47" t="s">
        <v>492</v>
      </c>
      <c r="F21" s="47" t="s">
        <v>472</v>
      </c>
      <c r="G21" s="47" t="s">
        <v>339</v>
      </c>
    </row>
    <row r="22" customFormat="false" ht="15" hidden="false" customHeight="false" outlineLevel="0" collapsed="false">
      <c r="A22" s="37" t="n">
        <v>18</v>
      </c>
      <c r="B22" s="47" t="s">
        <v>187</v>
      </c>
      <c r="C22" s="47" t="s">
        <v>410</v>
      </c>
      <c r="D22" s="48" t="n">
        <v>46159</v>
      </c>
      <c r="E22" s="47" t="s">
        <v>493</v>
      </c>
      <c r="F22" s="47" t="s">
        <v>472</v>
      </c>
      <c r="G22" s="47" t="s">
        <v>404</v>
      </c>
    </row>
    <row r="23" customFormat="false" ht="15" hidden="false" customHeight="false" outlineLevel="0" collapsed="false">
      <c r="A23" s="37" t="n">
        <v>19</v>
      </c>
      <c r="B23" s="47" t="s">
        <v>244</v>
      </c>
      <c r="C23" s="47" t="s">
        <v>494</v>
      </c>
      <c r="D23" s="48" t="n">
        <v>46162</v>
      </c>
      <c r="E23" s="47" t="s">
        <v>495</v>
      </c>
      <c r="F23" s="47" t="s">
        <v>472</v>
      </c>
      <c r="G23" s="47" t="s">
        <v>216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0A4AE"/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496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497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2" t="s">
        <v>100</v>
      </c>
      <c r="B4" s="12" t="s">
        <v>498</v>
      </c>
      <c r="C4" s="12" t="s">
        <v>468</v>
      </c>
      <c r="D4" s="12" t="s">
        <v>143</v>
      </c>
      <c r="E4" s="12" t="s">
        <v>499</v>
      </c>
      <c r="F4" s="12" t="s">
        <v>469</v>
      </c>
      <c r="G4" s="12" t="s">
        <v>316</v>
      </c>
      <c r="H4" s="12" t="s">
        <v>87</v>
      </c>
    </row>
    <row r="5" customFormat="false" ht="23.85" hidden="false" customHeight="false" outlineLevel="0" collapsed="false">
      <c r="A5" s="37" t="n">
        <v>1</v>
      </c>
      <c r="B5" s="47" t="s">
        <v>162</v>
      </c>
      <c r="C5" s="47" t="s">
        <v>422</v>
      </c>
      <c r="D5" s="48" t="n">
        <v>46159</v>
      </c>
      <c r="E5" s="47" t="s">
        <v>500</v>
      </c>
      <c r="F5" s="47" t="s">
        <v>501</v>
      </c>
      <c r="G5" s="47" t="s">
        <v>472</v>
      </c>
      <c r="H5" s="47" t="s">
        <v>502</v>
      </c>
    </row>
    <row r="6" customFormat="false" ht="23.85" hidden="false" customHeight="false" outlineLevel="0" collapsed="false">
      <c r="A6" s="37" t="n">
        <v>2</v>
      </c>
      <c r="B6" s="47" t="s">
        <v>503</v>
      </c>
      <c r="C6" s="47" t="s">
        <v>370</v>
      </c>
      <c r="D6" s="48"/>
      <c r="E6" s="47" t="s">
        <v>504</v>
      </c>
      <c r="F6" s="47" t="s">
        <v>505</v>
      </c>
      <c r="G6" s="47" t="s">
        <v>506</v>
      </c>
      <c r="H6" s="47" t="s">
        <v>507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2026-06-02T05:04:26Z</dcterms:created>
  <dc:creator>openpyxl</dc:creator>
  <dc:description/>
  <dc:language>en-US</dc:language>
  <cp:lastModifiedBy/>
  <dcterms:modified xsi:type="dcterms:W3CDTF">2026-06-02T05:04:27Z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